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Pivot_Engine" sheetId="2" r:id="rId6"/>
    <sheet state="visible" name="Dashboard" sheetId="3" r:id="rId7"/>
    <sheet state="visible" name="Lookup &amp; Reference" sheetId="4" r:id="rId8"/>
  </sheets>
  <definedNames>
    <definedName hidden="1" localSheetId="0" name="Z_B548F571_0EDC_4D66_A057_01B46CC25955_.wvu.FilterData">Raw_Data!$A$1:$I$101</definedName>
    <definedName name="SlicerCache_Table_1_Col_3">#N/A</definedName>
  </definedNames>
  <calcPr/>
  <customWorkbookViews>
    <customWorkbookView activeSheetId="0" maximized="1" windowHeight="0" windowWidth="0" guid="{B548F571-0EDC-4D66-A057-01B46CC25955}" name="Filter 1"/>
  </customWorkbookViews>
  <pivotCaches>
    <pivotCache cacheId="0" r:id="rId9"/>
  </pivotCaches>
  <extLst>
    <ext uri="{46BE6895-7355-4a93-B00E-2C351335B9C9}">
      <x15:slicerCaches>
        <x14:slicerCache r:id="rId10"/>
      </x15:slicerCaches>
    </ext>
  </extLst>
</workbook>
</file>

<file path=xl/sharedStrings.xml><?xml version="1.0" encoding="utf-8"?>
<sst xmlns="http://schemas.openxmlformats.org/spreadsheetml/2006/main" count="352" uniqueCount="241">
  <si>
    <t>Channel</t>
  </si>
  <si>
    <t>Total_Impressions</t>
  </si>
  <si>
    <t>Total_Clicks</t>
  </si>
  <si>
    <t>Target_ROAS</t>
  </si>
  <si>
    <t>Total_Spend_USD</t>
  </si>
  <si>
    <t>Max_Monthly_Budget_USD</t>
  </si>
  <si>
    <t>Assigned_Manager</t>
  </si>
  <si>
    <t>Total_Conversions</t>
  </si>
  <si>
    <t>Total_Revenue_USD</t>
  </si>
  <si>
    <t>Google Ads</t>
  </si>
  <si>
    <t>Blended_ROAS</t>
  </si>
  <si>
    <t>Sarah Jenkins</t>
  </si>
  <si>
    <t>Meta Ads</t>
  </si>
  <si>
    <t>Alex Rivera</t>
  </si>
  <si>
    <t>LinkedIn</t>
  </si>
  <si>
    <t>Marcus Vance</t>
  </si>
  <si>
    <t>YouTube</t>
  </si>
  <si>
    <t>Elena Rostova</t>
  </si>
  <si>
    <t>Email</t>
  </si>
  <si>
    <t>Campaign_ID</t>
  </si>
  <si>
    <t>David Kim</t>
  </si>
  <si>
    <t>Date</t>
  </si>
  <si>
    <t>Campaign_Name</t>
  </si>
  <si>
    <t>Impressions</t>
  </si>
  <si>
    <t>Clicks</t>
  </si>
  <si>
    <t>Spend_USD</t>
  </si>
  <si>
    <t>Conversions</t>
  </si>
  <si>
    <t>Revenue_USD</t>
  </si>
  <si>
    <t>ROAS</t>
  </si>
  <si>
    <t>CAMP-5001</t>
  </si>
  <si>
    <t>Q1 Search Growth</t>
  </si>
  <si>
    <t>CAMP-5002</t>
  </si>
  <si>
    <t>Brand Awareness Retargeting</t>
  </si>
  <si>
    <t>CAMP-5003</t>
  </si>
  <si>
    <t>B2B Lead Gen Q1</t>
  </si>
  <si>
    <t>CAMP-5004</t>
  </si>
  <si>
    <t>Product Demo Video Ad</t>
  </si>
  <si>
    <t>CAMP-5005</t>
  </si>
  <si>
    <t>Weekly Newsletter Promo</t>
  </si>
  <si>
    <t>CAMP-5006</t>
  </si>
  <si>
    <t>Competitor Keyword Target</t>
  </si>
  <si>
    <t>CAMP-5007</t>
  </si>
  <si>
    <t>Lookalike Audience Spring</t>
  </si>
  <si>
    <t>CAMP-5008</t>
  </si>
  <si>
    <t>Enterprise Software Pitch</t>
  </si>
  <si>
    <t>CAMP-5009</t>
  </si>
  <si>
    <t>Client Testimonial Spot</t>
  </si>
  <si>
    <t>CAMP-5010</t>
  </si>
  <si>
    <t>Flash Sale Announcement</t>
  </si>
  <si>
    <t>CAMP-5011</t>
  </si>
  <si>
    <t>Brand Protection</t>
  </si>
  <si>
    <t>CAMP-5012</t>
  </si>
  <si>
    <t>Carousel Showcase</t>
  </si>
  <si>
    <t>CAMP-5013</t>
  </si>
  <si>
    <t>SaaS Decision Makers</t>
  </si>
  <si>
    <t>CAMP-5014</t>
  </si>
  <si>
    <t>Explainer Animation</t>
  </si>
  <si>
    <t>CAMP-5015</t>
  </si>
  <si>
    <t>Product Update Bulletin</t>
  </si>
  <si>
    <t>CAMP-5016</t>
  </si>
  <si>
    <t>High-Intent Search</t>
  </si>
  <si>
    <t>CAMP-5017</t>
  </si>
  <si>
    <t>Video Views Campaign</t>
  </si>
  <si>
    <t>CAMP-5018</t>
  </si>
  <si>
    <t>Webinar Invitation</t>
  </si>
  <si>
    <t>CAMP-5019</t>
  </si>
  <si>
    <t>Feature Highlight</t>
  </si>
  <si>
    <t>CAMP-5020</t>
  </si>
  <si>
    <t>Exclusive VIP Offer</t>
  </si>
  <si>
    <t>CAMP-5021</t>
  </si>
  <si>
    <t>Q1 Search Growth II</t>
  </si>
  <si>
    <t>Linkdin</t>
  </si>
  <si>
    <t>CAMP-5022</t>
  </si>
  <si>
    <t>Brand Retargeting II</t>
  </si>
  <si>
    <t>CAMP-5023</t>
  </si>
  <si>
    <t>B2B Lead Gen II</t>
  </si>
  <si>
    <t>CAMP-5024</t>
  </si>
  <si>
    <t>Product Demo II</t>
  </si>
  <si>
    <t>CAMP-5025</t>
  </si>
  <si>
    <t>Weekly Digest</t>
  </si>
  <si>
    <t>CAMP-5026</t>
  </si>
  <si>
    <t>Keyword Expansion</t>
  </si>
  <si>
    <t>CAMP-5027</t>
  </si>
  <si>
    <t>Spring Collection</t>
  </si>
  <si>
    <t>CAMP-5028</t>
  </si>
  <si>
    <t>Cloud Solutions</t>
  </si>
  <si>
    <t>CAMP-5029</t>
  </si>
  <si>
    <t>Brand Story</t>
  </si>
  <si>
    <t>CAMP-5030</t>
  </si>
  <si>
    <t>Month-End Special</t>
  </si>
  <si>
    <t>CAMP-5031</t>
  </si>
  <si>
    <t>Feb Performance Max</t>
  </si>
  <si>
    <t>Youtube</t>
  </si>
  <si>
    <t>CAMP-5032</t>
  </si>
  <si>
    <t>Lead Gen Form Ad</t>
  </si>
  <si>
    <t>CAMP-5033</t>
  </si>
  <si>
    <t>Tech Stack Whitepaper</t>
  </si>
  <si>
    <t>OPERATIONAL KPI &amp; MARKETING METRIC BOARD</t>
  </si>
  <si>
    <t>CAMP-5034</t>
  </si>
  <si>
    <t>Customer Success Story</t>
  </si>
  <si>
    <t>CAMP-5035</t>
  </si>
  <si>
    <t>Mid-Week Newsletter</t>
  </si>
  <si>
    <t>CAMP-5036</t>
  </si>
  <si>
    <t>Search Intent Boost</t>
  </si>
  <si>
    <t>CAMP-5037</t>
  </si>
  <si>
    <t>Real-Time Multi-Channel Marketing Performance Intelligence</t>
  </si>
  <si>
    <t>Engagement Booster</t>
  </si>
  <si>
    <t>CAMP-5038</t>
  </si>
  <si>
    <t>Executive Insights</t>
  </si>
  <si>
    <t>CAMP-5039</t>
  </si>
  <si>
    <t>Platform Walkthrough</t>
  </si>
  <si>
    <t>TOTAL AD SPEND</t>
  </si>
  <si>
    <t>CAMP-5040</t>
  </si>
  <si>
    <t>Valentines Campaign Preview</t>
  </si>
  <si>
    <t>TOTAL REVENUE</t>
  </si>
  <si>
    <t>BLENDED ROAS</t>
  </si>
  <si>
    <t>TOTAL CONVERSIONS</t>
  </si>
  <si>
    <t>CAMP-5041</t>
  </si>
  <si>
    <t>Feb Search Expansion</t>
  </si>
  <si>
    <t>CAMP-5042</t>
  </si>
  <si>
    <t>Catalog Sales</t>
  </si>
  <si>
    <t>CAMP-5043</t>
  </si>
  <si>
    <t>HR Tech Solutions</t>
  </si>
  <si>
    <t>CAMP-5044</t>
  </si>
  <si>
    <t>Valentine Promo</t>
  </si>
  <si>
    <t>CAMP-5045</t>
  </si>
  <si>
    <t>Special Discount Blast</t>
  </si>
  <si>
    <t>CAMP-5046</t>
  </si>
  <si>
    <t>Core Keywords</t>
  </si>
  <si>
    <t>CAMP-5047</t>
  </si>
  <si>
    <t>Lookalike Expansion</t>
  </si>
  <si>
    <t>CAMP-5048</t>
  </si>
  <si>
    <t>Data Security Brief</t>
  </si>
  <si>
    <t>CAMP-5049</t>
  </si>
  <si>
    <t>Analytics Deep Dive</t>
  </si>
  <si>
    <t>CAMP-5050</t>
  </si>
  <si>
    <t>Weekly Retention Digest</t>
  </si>
  <si>
    <t>CAMP-5051</t>
  </si>
  <si>
    <t>Q2 Kickoff Search</t>
  </si>
  <si>
    <t>CAMP-5052</t>
  </si>
  <si>
    <t>Spring Retargeting</t>
  </si>
  <si>
    <t>CAMP-5053</t>
  </si>
  <si>
    <t>B2B Enterprise Pitch</t>
  </si>
  <si>
    <t>CAMP-5054</t>
  </si>
  <si>
    <t>Platform Overview 2026</t>
  </si>
  <si>
    <t>CAMP-5055</t>
  </si>
  <si>
    <t>Spring Product Lineup</t>
  </si>
  <si>
    <t>CAMP-5056</t>
  </si>
  <si>
    <t>Targeted Intent</t>
  </si>
  <si>
    <t>CAMP-5057</t>
  </si>
  <si>
    <t>Dynamic Creative</t>
  </si>
  <si>
    <t>CAMP-5058</t>
  </si>
  <si>
    <t>Cloud Architecture</t>
  </si>
  <si>
    <t>CAMP-5059</t>
  </si>
  <si>
    <t>Integration Tutorial</t>
  </si>
  <si>
    <t>CAMP-5060</t>
  </si>
  <si>
    <t>Spring Flash Sale</t>
  </si>
  <si>
    <t>CAMP-5061</t>
  </si>
  <si>
    <t>Spring Search Push</t>
  </si>
  <si>
    <t>CAMP-5062</t>
  </si>
  <si>
    <t>Carousel Ad Spring</t>
  </si>
  <si>
    <t>CAMP-5063</t>
  </si>
  <si>
    <t>SaaS Scaling Guide</t>
  </si>
  <si>
    <t>CAMP-5064</t>
  </si>
  <si>
    <t>Feature Release Spotlight</t>
  </si>
  <si>
    <t>CAMP-5065</t>
  </si>
  <si>
    <t>Newsletter Q1 Review</t>
  </si>
  <si>
    <t>CAMP-5066</t>
  </si>
  <si>
    <t>Competitor Conquest</t>
  </si>
  <si>
    <t>CAMP-5067</t>
  </si>
  <si>
    <t>Engagement Campaign</t>
  </si>
  <si>
    <t>CAMP-5068</t>
  </si>
  <si>
    <t>Database Optimization</t>
  </si>
  <si>
    <t>CAMP-5069</t>
  </si>
  <si>
    <t>Customer Testimonials</t>
  </si>
  <si>
    <t>CAMP-5070</t>
  </si>
  <si>
    <t>VIP Exclusive Update</t>
  </si>
  <si>
    <t>CAMP-5071</t>
  </si>
  <si>
    <t>Search Maximizer</t>
  </si>
  <si>
    <t>SUM of Spend_USD</t>
  </si>
  <si>
    <t>SUM of Revenue_USD</t>
  </si>
  <si>
    <t>SUM of Conversions</t>
  </si>
  <si>
    <t>CAMP-5072</t>
  </si>
  <si>
    <t>Lead Generation Pro</t>
  </si>
  <si>
    <t>CAMP-5073</t>
  </si>
  <si>
    <t>Enterprise Security</t>
  </si>
  <si>
    <t>CAMP-5074</t>
  </si>
  <si>
    <t>Product Launch Teaser</t>
  </si>
  <si>
    <t>CAMP-5075</t>
  </si>
  <si>
    <t>Mid-Month Digest</t>
  </si>
  <si>
    <t>CAMP-5076</t>
  </si>
  <si>
    <t>High-Value Search</t>
  </si>
  <si>
    <t>CAMP-5077</t>
  </si>
  <si>
    <t>Lookalike Peak</t>
  </si>
  <si>
    <t>CAMP-5078</t>
  </si>
  <si>
    <t>B2B Growth Summit</t>
  </si>
  <si>
    <t>CAMP-5079</t>
  </si>
  <si>
    <t>Advanced Analytics Guide</t>
  </si>
  <si>
    <t>Grand Total</t>
  </si>
  <si>
    <t>CAMP-5080</t>
  </si>
  <si>
    <t>Quarter-End Blowout</t>
  </si>
  <si>
    <t>CAMP-5081</t>
  </si>
  <si>
    <t>Q2 Scale Search</t>
  </si>
  <si>
    <t>CAMP-5082</t>
  </si>
  <si>
    <t>Retargeting April</t>
  </si>
  <si>
    <t>CAMP-5083</t>
  </si>
  <si>
    <t>Enterprise AI Pitch</t>
  </si>
  <si>
    <t>CAMP-5084</t>
  </si>
  <si>
    <t>Workflow Automation</t>
  </si>
  <si>
    <t>CAMP-5085</t>
  </si>
  <si>
    <t>April Newsletter</t>
  </si>
  <si>
    <t>CAMP-5086</t>
  </si>
  <si>
    <t>Intent Keywords</t>
  </si>
  <si>
    <t>CAMP-5087</t>
  </si>
  <si>
    <t>Spring Refresh Ad</t>
  </si>
  <si>
    <t>CAMP-5088</t>
  </si>
  <si>
    <t>Data Governance Whitepaper</t>
  </si>
  <si>
    <t>CAMP-5089</t>
  </si>
  <si>
    <t>Platform Deep Dive</t>
  </si>
  <si>
    <t>CAMP-5090</t>
  </si>
  <si>
    <t>Spring Special Offer</t>
  </si>
  <si>
    <t>CAMP-5091</t>
  </si>
  <si>
    <t>Scale Search II</t>
  </si>
  <si>
    <t>CAMP-5092</t>
  </si>
  <si>
    <t>Retargeting Peak</t>
  </si>
  <si>
    <t>CAMP-5093</t>
  </si>
  <si>
    <t>AI Solutions Scale</t>
  </si>
  <si>
    <t>CAMP-5094</t>
  </si>
  <si>
    <t>Automation Showcase</t>
  </si>
  <si>
    <t>CAMP-5095</t>
  </si>
  <si>
    <t>Mid-April Promo</t>
  </si>
  <si>
    <t>CAMP-5096</t>
  </si>
  <si>
    <t>Core Intent Push</t>
  </si>
  <si>
    <t>CAMP-5097</t>
  </si>
  <si>
    <t>Spring Finale</t>
  </si>
  <si>
    <t>CAMP-5098</t>
  </si>
  <si>
    <t>Cloud Security Elite</t>
  </si>
  <si>
    <t>CAMP-5099</t>
  </si>
  <si>
    <t>Enterprise Case Study</t>
  </si>
  <si>
    <t>CAMP-5100</t>
  </si>
  <si>
    <t>April Final Blast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</si>
</sst>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0"/>
  </numFmts>
  <fonts count="8">
    <font>
      <sz val="10.0"/>
      <color rgb="FF000000"/>
      <name val="Arial"/>
      <scheme val="minor"/>
    </font>
    <font>
      <b/>
      <sz val="11.0"/>
      <color rgb="FFFFFFFF"/>
      <name val="Arial"/>
      <scheme val="minor"/>
    </font>
    <font>
      <color rgb="FFF3F3F3"/>
      <name val="Arial"/>
      <scheme val="minor"/>
    </font>
    <font>
      <color theme="1"/>
      <name val="Arial"/>
      <scheme val="minor"/>
    </font>
    <font>
      <b/>
      <sz val="14.0"/>
      <color theme="0"/>
      <name val="Arial"/>
      <scheme val="minor"/>
    </font>
    <font>
      <i/>
      <sz val="10.0"/>
      <color rgb="FFF3F3F3"/>
      <name val="Arial"/>
      <scheme val="minor"/>
    </font>
    <font>
      <color rgb="FF000000"/>
      <name val="Arial"/>
      <scheme val="minor"/>
    </font>
    <font>
      <color rgb="FFFFFFFF"/>
      <name val="Arial"/>
      <scheme val="minor"/>
    </font>
  </fonts>
  <fills count="8">
    <fill>
      <patternFill patternType="none"/>
    </fill>
    <fill>
      <patternFill patternType="lightGray"/>
    </fill>
    <fill>
      <patternFill patternType="solid">
        <fgColor rgb="FF434343"/>
        <bgColor rgb="FF434343"/>
      </patternFill>
    </fill>
    <fill>
      <patternFill patternType="solid">
        <fgColor rgb="FF666666"/>
        <bgColor rgb="FF666666"/>
      </patternFill>
    </fill>
    <fill>
      <patternFill patternType="solid">
        <fgColor rgb="FF1E1E1E"/>
        <bgColor rgb="FF1E1E1E"/>
      </patternFill>
    </fill>
    <fill>
      <patternFill patternType="solid">
        <fgColor theme="1"/>
        <bgColor theme="1"/>
      </patternFill>
    </fill>
    <fill>
      <patternFill patternType="solid">
        <fgColor rgb="FF3D85C6"/>
        <bgColor rgb="FF3D85C6"/>
      </patternFill>
    </fill>
    <fill>
      <patternFill patternType="solid">
        <fgColor rgb="FFE6B8AF"/>
        <bgColor rgb="FFE6B8AF"/>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3" fontId="2" numFmtId="2" xfId="0" applyAlignment="1" applyFill="1" applyFont="1" applyNumberFormat="1">
      <alignment readingOrder="0"/>
    </xf>
    <xf borderId="0" fillId="2" fontId="1" numFmtId="165" xfId="0" applyAlignment="1" applyFill="1" applyFont="1" applyNumberFormat="1">
      <alignment readingOrder="0"/>
    </xf>
    <xf borderId="0" fillId="3" fontId="2" numFmtId="165" xfId="0" applyAlignment="1" applyFill="1" applyFont="1" applyNumberFormat="1">
      <alignment readingOrder="0"/>
    </xf>
    <xf borderId="0" fillId="0" fontId="3" numFmtId="0" xfId="0" applyAlignment="1" applyFont="1">
      <alignment readingOrder="0"/>
    </xf>
    <xf borderId="0" fillId="2" fontId="1" numFmtId="4" xfId="0" applyAlignment="1" applyFill="1" applyFont="1" applyNumberFormat="1">
      <alignment readingOrder="0"/>
    </xf>
    <xf borderId="0" fillId="0" fontId="3" numFmtId="2" xfId="0" applyAlignment="1" applyFont="1" applyNumberFormat="1">
      <alignment readingOrder="0"/>
    </xf>
    <xf borderId="0" fillId="0" fontId="3" numFmtId="165" xfId="0" applyAlignment="1" applyFont="1" applyNumberFormat="1">
      <alignment readingOrder="0"/>
    </xf>
    <xf borderId="0" fillId="0" fontId="3" numFmtId="2" xfId="0" applyFont="1" applyNumberFormat="1"/>
    <xf borderId="0" fillId="0" fontId="3" numFmtId="165" xfId="0" applyFont="1" applyNumberFormat="1"/>
    <xf borderId="0" fillId="2" fontId="1" numFmtId="2" xfId="0" applyAlignment="1" applyFill="1" applyFont="1" applyNumberFormat="1">
      <alignment readingOrder="0"/>
    </xf>
    <xf borderId="0" fillId="0" fontId="3" numFmtId="0" xfId="0" applyFont="1"/>
    <xf borderId="0" fillId="0" fontId="3" numFmtId="164" xfId="0" applyAlignment="1" applyFont="1" applyNumberFormat="1">
      <alignment readingOrder="0"/>
    </xf>
    <xf borderId="0" fillId="0" fontId="3" numFmtId="4" xfId="0" applyAlignment="1" applyFont="1" applyNumberFormat="1">
      <alignment readingOrder="0"/>
    </xf>
    <xf borderId="0" fillId="0" fontId="3" numFmtId="4" xfId="0" applyFont="1" applyNumberFormat="1"/>
    <xf borderId="0" fillId="4" fontId="4" numFmtId="0" xfId="0" applyAlignment="1" applyFill="1" applyFont="1">
      <alignment horizontal="center" readingOrder="0" vertical="center"/>
    </xf>
    <xf borderId="0" fillId="5" fontId="3" numFmtId="0" xfId="0" applyFill="1" applyFont="1"/>
    <xf borderId="0" fillId="2" fontId="5" numFmtId="0" xfId="0" applyAlignment="1" applyFill="1" applyFont="1">
      <alignment horizontal="center" readingOrder="0"/>
    </xf>
    <xf borderId="0" fillId="6" fontId="6" numFmtId="0" xfId="0" applyAlignment="1" applyFill="1" applyFont="1">
      <alignment horizontal="center" readingOrder="0"/>
    </xf>
    <xf borderId="0" fillId="6" fontId="3" numFmtId="0" xfId="0" applyAlignment="1" applyFill="1" applyFont="1">
      <alignment horizontal="center" readingOrder="0"/>
    </xf>
    <xf borderId="0" fillId="7" fontId="3" numFmtId="4" xfId="0" applyAlignment="1" applyFill="1" applyFont="1" applyNumberFormat="1">
      <alignment horizontal="center"/>
    </xf>
    <xf borderId="0" fillId="7" fontId="3" numFmtId="165" xfId="0" applyFill="1" applyFont="1" applyNumberFormat="1"/>
    <xf borderId="0" fillId="7" fontId="3" numFmtId="0" xfId="0" applyFill="1" applyFont="1"/>
    <xf borderId="0" fillId="5" fontId="7" numFmtId="0" xfId="0" applyFill="1" applyFont="1"/>
    <xf borderId="0" fillId="5" fontId="7" numFmtId="4" xfId="0" applyFill="1" applyFont="1" applyNumberFormat="1"/>
    <xf borderId="0" fillId="5" fontId="7" numFmtId="165" xfId="0" applyFill="1" applyFont="1" applyNumberFormat="1"/>
    <xf borderId="0" fillId="5" fontId="3" numFmtId="4" xfId="0" applyFill="1" applyFont="1" applyNumberFormat="1"/>
    <xf borderId="0" fillId="5" fontId="3" numFmtId="165" xfId="0" applyFill="1"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Google Ads, Meta Ads, Linkdin, Youtube and Email</a:t>
            </a:r>
          </a:p>
        </c:rich>
      </c:tx>
      <c:overlay val="0"/>
    </c:title>
    <c:plotArea>
      <c:layout/>
      <c:barChart>
        <c:barDir val="col"/>
        <c:ser>
          <c:idx val="0"/>
          <c:order val="0"/>
          <c:tx>
            <c:strRef>
              <c:f>Dashboard!$A$11</c:f>
            </c:strRef>
          </c:tx>
          <c:spPr>
            <a:solidFill>
              <a:schemeClr val="accent1"/>
            </a:solidFill>
            <a:ln cmpd="sng">
              <a:noFill/>
            </a:ln>
          </c:spPr>
          <c:invertIfNegative val="0"/>
          <c:cat>
            <c:strRef>
              <c:f>Dashboard!$B$10:$G$10</c:f>
            </c:strRef>
          </c:cat>
          <c:val>
            <c:numRef>
              <c:f>Dashboard!$B$11:$G$11</c:f>
              <c:numCache/>
            </c:numRef>
          </c:val>
        </c:ser>
        <c:ser>
          <c:idx val="1"/>
          <c:order val="1"/>
          <c:tx>
            <c:strRef>
              <c:f>Dashboard!$A$12</c:f>
            </c:strRef>
          </c:tx>
          <c:spPr>
            <a:solidFill>
              <a:schemeClr val="accent2"/>
            </a:solidFill>
            <a:ln cmpd="sng">
              <a:noFill/>
            </a:ln>
          </c:spPr>
          <c:invertIfNegative val="0"/>
          <c:cat>
            <c:strRef>
              <c:f>Dashboard!$B$10:$G$10</c:f>
            </c:strRef>
          </c:cat>
          <c:val>
            <c:numRef>
              <c:f>Dashboard!$B$12:$G$12</c:f>
              <c:numCache/>
            </c:numRef>
          </c:val>
        </c:ser>
        <c:ser>
          <c:idx val="2"/>
          <c:order val="2"/>
          <c:tx>
            <c:strRef>
              <c:f>Dashboard!$A$13</c:f>
            </c:strRef>
          </c:tx>
          <c:spPr>
            <a:solidFill>
              <a:schemeClr val="accent3"/>
            </a:solidFill>
            <a:ln cmpd="sng">
              <a:noFill/>
            </a:ln>
          </c:spPr>
          <c:invertIfNegative val="0"/>
          <c:cat>
            <c:strRef>
              <c:f>Dashboard!$B$10:$G$10</c:f>
            </c:strRef>
          </c:cat>
          <c:val>
            <c:numRef>
              <c:f>Dashboard!$B$13:$G$13</c:f>
              <c:numCache/>
            </c:numRef>
          </c:val>
        </c:ser>
        <c:ser>
          <c:idx val="3"/>
          <c:order val="3"/>
          <c:tx>
            <c:strRef>
              <c:f>Dashboard!$A$14</c:f>
            </c:strRef>
          </c:tx>
          <c:spPr>
            <a:solidFill>
              <a:schemeClr val="accent4"/>
            </a:solidFill>
            <a:ln cmpd="sng">
              <a:noFill/>
            </a:ln>
          </c:spPr>
          <c:invertIfNegative val="0"/>
          <c:cat>
            <c:strRef>
              <c:f>Dashboard!$B$10:$G$10</c:f>
            </c:strRef>
          </c:cat>
          <c:val>
            <c:numRef>
              <c:f>Dashboard!$B$14:$G$14</c:f>
              <c:numCache/>
            </c:numRef>
          </c:val>
        </c:ser>
        <c:ser>
          <c:idx val="4"/>
          <c:order val="4"/>
          <c:tx>
            <c:strRef>
              <c:f>Dashboard!$A$15</c:f>
            </c:strRef>
          </c:tx>
          <c:spPr>
            <a:solidFill>
              <a:schemeClr val="accent5"/>
            </a:solidFill>
            <a:ln cmpd="sng">
              <a:noFill/>
            </a:ln>
          </c:spPr>
          <c:invertIfNegative val="0"/>
          <c:cat>
            <c:strRef>
              <c:f>Dashboard!$B$10:$G$10</c:f>
            </c:strRef>
          </c:cat>
          <c:val>
            <c:numRef>
              <c:f>Dashboard!$B$15:$G$15</c:f>
              <c:numCache/>
            </c:numRef>
          </c:val>
        </c:ser>
        <c:axId val="148310553"/>
        <c:axId val="1814123248"/>
      </c:barChart>
      <c:catAx>
        <c:axId val="1483105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14123248"/>
      </c:catAx>
      <c:valAx>
        <c:axId val="18141232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310553"/>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15</xdr:row>
      <xdr:rowOff>104775</xdr:rowOff>
    </xdr:from>
    <xdr:ext cx="7696200" cy="4781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381000</xdr:colOff>
      <xdr:row>15</xdr:row>
      <xdr:rowOff>114300</xdr:rowOff>
    </xdr:from>
    <xdr:ext cx="2857500" cy="2857500"/>
    <mc:AlternateContent>
      <mc:Choice Requires="sle15">
        <xdr:graphicFrame>
          <xdr:nvGraphicFramePr>
            <xdr:cNvPr id="1" name="Channel_1"/>
            <xdr:cNvGraphicFramePr/>
          </xdr:nvGraphicFramePr>
          <xdr:xfrm>
            <a:off x="0" y="0"/>
            <a:ext cx="0" cy="0"/>
          </xdr:xfrm>
          <a:graphic>
            <a:graphicData uri="http://schemas.microsoft.com/office/drawing/2010/slicer">
              <x3Unk:slicer name="Channel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1" sheet="Raw_Data"/>
  </cacheSource>
  <cacheFields>
    <cacheField name="Campaign_ID" numFmtId="0">
      <sharedItems>
        <s v="CAMP-5001"/>
        <s v="CAMP-5002"/>
        <s v="CAMP-5003"/>
        <s v="CAMP-5004"/>
        <s v="CAMP-5005"/>
        <s v="CAMP-5006"/>
        <s v="CAMP-5007"/>
        <s v="CAMP-5008"/>
        <s v="CAMP-5009"/>
        <s v="CAMP-5010"/>
        <s v="CAMP-5011"/>
        <s v="CAMP-5012"/>
        <s v="CAMP-5013"/>
        <s v="CAMP-5014"/>
        <s v="CAMP-5015"/>
        <s v="CAMP-5016"/>
        <s v="CAMP-5017"/>
        <s v="CAMP-5018"/>
        <s v="CAMP-5019"/>
        <s v="CAMP-5020"/>
        <s v="CAMP-5021"/>
        <s v="CAMP-5022"/>
        <s v="CAMP-5023"/>
        <s v="CAMP-5024"/>
        <s v="CAMP-5025"/>
        <s v="CAMP-5026"/>
        <s v="CAMP-5027"/>
        <s v="CAMP-5028"/>
        <s v="CAMP-5029"/>
        <s v="CAMP-5030"/>
        <s v="CAMP-5031"/>
        <s v="CAMP-5032"/>
        <s v="CAMP-5033"/>
        <s v="CAMP-5034"/>
        <s v="CAMP-5035"/>
        <s v="CAMP-5036"/>
        <s v="CAMP-5037"/>
        <s v="CAMP-5038"/>
        <s v="CAMP-5039"/>
        <s v="CAMP-5040"/>
        <s v="CAMP-5041"/>
        <s v="CAMP-5042"/>
        <s v="CAMP-5043"/>
        <s v="CAMP-5044"/>
        <s v="CAMP-5045"/>
        <s v="CAMP-5046"/>
        <s v="CAMP-5047"/>
        <s v="CAMP-5048"/>
        <s v="CAMP-5049"/>
        <s v="CAMP-5050"/>
        <s v="CAMP-5051"/>
        <s v="CAMP-5052"/>
        <s v="CAMP-5053"/>
        <s v="CAMP-5054"/>
        <s v="CAMP-5055"/>
        <s v="CAMP-5056"/>
        <s v="CAMP-5057"/>
        <s v="CAMP-5058"/>
        <s v="CAMP-5059"/>
        <s v="CAMP-5060"/>
        <s v="CAMP-5061"/>
        <s v="CAMP-5062"/>
        <s v="CAMP-5063"/>
        <s v="CAMP-5064"/>
        <s v="CAMP-5065"/>
        <s v="CAMP-5066"/>
        <s v="CAMP-5067"/>
        <s v="CAMP-5068"/>
        <s v="CAMP-5069"/>
        <s v="CAMP-5070"/>
        <s v="CAMP-5071"/>
        <s v="CAMP-5072"/>
        <s v="CAMP-5073"/>
        <s v="CAMP-5074"/>
        <s v="CAMP-5075"/>
        <s v="CAMP-5076"/>
        <s v="CAMP-5077"/>
        <s v="CAMP-5078"/>
        <s v="CAMP-5079"/>
        <s v="CAMP-5080"/>
        <s v="CAMP-5081"/>
        <s v="CAMP-5082"/>
        <s v="CAMP-5083"/>
        <s v="CAMP-5084"/>
        <s v="CAMP-5085"/>
        <s v="CAMP-5086"/>
        <s v="CAMP-5087"/>
        <s v="CAMP-5088"/>
        <s v="CAMP-5089"/>
        <s v="CAMP-5090"/>
        <s v="CAMP-5091"/>
        <s v="CAMP-5092"/>
        <s v="CAMP-5093"/>
        <s v="CAMP-5094"/>
        <s v="CAMP-5095"/>
        <s v="CAMP-5096"/>
        <s v="CAMP-5097"/>
        <s v="CAMP-5098"/>
        <s v="CAMP-5099"/>
        <s v="CAMP-5100"/>
      </sharedItems>
    </cacheField>
    <cacheField name="Date" numFmtId="164">
      <sharedItems containsSemiMixedTypes="0" containsDate="1" containsString="0">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6T00:00:00Z"/>
        <d v="2026-03-17T00:00:00Z"/>
        <d v="2026-03-18T00:00:00Z"/>
        <d v="2026-03-19T00:00:00Z"/>
        <d v="2026-03-20T00:00:00Z"/>
        <d v="2026-03-21T00:00:00Z"/>
        <d v="2026-03-22T00:00:00Z"/>
        <d v="2026-03-23T00:00:00Z"/>
        <d v="2026-03-24T00:00:00Z"/>
        <d v="2026-03-25T00:00:00Z"/>
        <d v="2026-03-26T00:00:00Z"/>
        <d v="2026-03-27T00:00:00Z"/>
        <d v="2026-03-28T00:00:00Z"/>
        <d v="2026-03-29T00:00:00Z"/>
        <d v="2026-03-30T00:00:00Z"/>
        <d v="2026-04-01T00:00:00Z"/>
        <d v="2026-04-02T00:00:00Z"/>
        <d v="2026-04-03T00:00:00Z"/>
        <d v="2026-04-04T00:00:00Z"/>
        <d v="2026-04-05T00:00:00Z"/>
        <d v="2026-04-06T00:00:00Z"/>
        <d v="2026-04-07T00:00:00Z"/>
        <d v="2026-04-08T00:00:00Z"/>
        <d v="2026-04-09T00:00:00Z"/>
        <d v="2026-04-10T00:00:00Z"/>
        <d v="2026-04-11T00:00:00Z"/>
        <d v="2026-04-12T00:00:00Z"/>
        <d v="2026-04-13T00:00:00Z"/>
        <d v="2026-04-14T00:00:00Z"/>
        <d v="2026-04-15T00:00:00Z"/>
        <d v="2026-04-16T00:00:00Z"/>
        <d v="2026-04-17T00:00:00Z"/>
        <d v="2026-04-18T00:00:00Z"/>
        <d v="2026-04-19T00:00:00Z"/>
        <d v="2026-04-20T00:00:00Z"/>
      </sharedItems>
    </cacheField>
    <cacheField name="Channel" numFmtId="0">
      <sharedItems>
        <s v="Google Ads"/>
        <s v="Meta Ads"/>
        <s v="LinkedIn"/>
        <s v="YouTube"/>
        <s v="Email"/>
      </sharedItems>
    </cacheField>
    <cacheField name="Campaign_Name" numFmtId="0">
      <sharedItems>
        <s v="Q1 Search Growth"/>
        <s v="Brand Awareness Retargeting"/>
        <s v="B2B Lead Gen Q1"/>
        <s v="Product Demo Video Ad"/>
        <s v="Weekly Newsletter Promo"/>
        <s v="Competitor Keyword Target"/>
        <s v="Lookalike Audience Spring"/>
        <s v="Enterprise Software Pitch"/>
        <s v="Client Testimonial Spot"/>
        <s v="Flash Sale Announcement"/>
        <s v="Brand Protection"/>
        <s v="Carousel Showcase"/>
        <s v="SaaS Decision Makers"/>
        <s v="Explainer Animation"/>
        <s v="Product Update Bulletin"/>
        <s v="High-Intent Search"/>
        <s v="Video Views Campaign"/>
        <s v="Webinar Invitation"/>
        <s v="Feature Highlight"/>
        <s v="Exclusive VIP Offer"/>
        <s v="Q1 Search Growth II"/>
        <s v="Brand Retargeting II"/>
        <s v="B2B Lead Gen II"/>
        <s v="Product Demo II"/>
        <s v="Weekly Digest"/>
        <s v="Keyword Expansion"/>
        <s v="Spring Collection"/>
        <s v="Cloud Solutions"/>
        <s v="Brand Story"/>
        <s v="Month-End Special"/>
        <s v="Feb Performance Max"/>
        <s v="Lead Gen Form Ad"/>
        <s v="Tech Stack Whitepaper"/>
        <s v="Customer Success Story"/>
        <s v="Mid-Week Newsletter"/>
        <s v="Search Intent Boost"/>
        <s v="Engagement Booster"/>
        <s v="Executive Insights"/>
        <s v="Platform Walkthrough"/>
        <s v="Valentines Campaign Preview"/>
        <s v="Feb Search Expansion"/>
        <s v="Catalog Sales"/>
        <s v="HR Tech Solutions"/>
        <s v="Valentine Promo"/>
        <s v="Special Discount Blast"/>
        <s v="Core Keywords"/>
        <s v="Lookalike Expansion"/>
        <s v="Data Security Brief"/>
        <s v="Analytics Deep Dive"/>
        <s v="Weekly Retention Digest"/>
        <s v="Q2 Kickoff Search"/>
        <s v="Spring Retargeting"/>
        <s v="B2B Enterprise Pitch"/>
        <s v="Platform Overview 2026"/>
        <s v="Spring Product Lineup"/>
        <s v="Targeted Intent"/>
        <s v="Dynamic Creative"/>
        <s v="Cloud Architecture"/>
        <s v="Integration Tutorial"/>
        <s v="Spring Flash Sale"/>
        <s v="Spring Search Push"/>
        <s v="Carousel Ad Spring"/>
        <s v="SaaS Scaling Guide"/>
        <s v="Feature Release Spotlight"/>
        <s v="Newsletter Q1 Review"/>
        <s v="Competitor Conquest"/>
        <s v="Engagement Campaign"/>
        <s v="Database Optimization"/>
        <s v="Customer Testimonials"/>
        <s v="VIP Exclusive Update"/>
        <s v="Search Maximizer"/>
        <s v="Lead Generation Pro"/>
        <s v="Enterprise Security"/>
        <s v="Product Launch Teaser"/>
        <s v="Mid-Month Digest"/>
        <s v="High-Value Search"/>
        <s v="Lookalike Peak"/>
        <s v="B2B Growth Summit"/>
        <s v="Advanced Analytics Guide"/>
        <s v="Quarter-End Blowout"/>
        <s v="Q2 Scale Search"/>
        <s v="Retargeting April"/>
        <s v="Enterprise AI Pitch"/>
        <s v="Workflow Automation"/>
        <s v="April Newsletter"/>
        <s v="Intent Keywords"/>
        <s v="Spring Refresh Ad"/>
        <s v="Data Governance Whitepaper"/>
        <s v="Platform Deep Dive"/>
        <s v="Spring Special Offer"/>
        <s v="Scale Search II"/>
        <s v="Retargeting Peak"/>
        <s v="AI Solutions Scale"/>
        <s v="Automation Showcase"/>
        <s v="Mid-April Promo"/>
        <s v="Core Intent Push"/>
        <s v="Spring Finale"/>
        <s v="Cloud Security Elite"/>
        <s v="Enterprise Case Study"/>
        <s v="April Final Blast"/>
      </sharedItems>
    </cacheField>
    <cacheField name="Impressions" numFmtId="0">
      <sharedItems containsSemiMixedTypes="0" containsString="0" containsNumber="1" containsInteger="1">
        <n v="45200.0"/>
        <n v="89000.0"/>
        <n v="18500.0"/>
        <n v="125000.0"/>
        <n v="25000.0"/>
        <n v="38000.0"/>
        <n v="74000.0"/>
        <n v="21000.0"/>
        <n v="95000.0"/>
        <n v="28000.0"/>
        <n v="51000.0"/>
        <n v="68000.0"/>
        <n v="19200.0"/>
        <n v="110000.0"/>
        <n v="26500.0"/>
        <n v="42000.0"/>
        <n v="92000.0"/>
        <n v="23000.0"/>
        <n v="88000.0"/>
        <n v="30000.0"/>
        <n v="47000.0"/>
        <n v="85000.0"/>
        <n v="17800.0"/>
        <n v="118000.0"/>
        <n v="24000.0"/>
        <n v="39500.0"/>
        <n v="79000.0"/>
        <n v="20500.0"/>
        <n v="99000.0"/>
        <n v="29000.0"/>
        <n v="53000.0"/>
        <n v="81000.0"/>
        <n v="22000.0"/>
        <n v="105000.0"/>
        <n v="26000.0"/>
        <n v="41000.0"/>
        <n v="76000.0"/>
        <n v="19500.0"/>
        <n v="91000.0"/>
        <n v="31000.0"/>
        <n v="46000.0"/>
        <n v="83000.0"/>
        <n v="21500.0"/>
        <n v="115000.0"/>
        <n v="27500.0"/>
        <n v="44000.0"/>
        <n v="80000.0"/>
        <n v="20000.0"/>
        <n v="96000.0"/>
        <n v="25500.0"/>
        <n v="55000.0"/>
        <n v="87000.0"/>
        <n v="120000.0"/>
        <n v="28500.0"/>
        <n v="43000.0"/>
        <n v="82000.0"/>
        <n v="98000.0"/>
        <n v="32000.0"/>
        <n v="48000.0"/>
        <n v="86000.0"/>
        <n v="22500.0"/>
        <n v="108000.0"/>
        <n v="27000.0"/>
        <n v="45000.0"/>
        <n v="84000.0"/>
        <n v="97000.0"/>
        <n v="30500.0"/>
        <n v="49000.0"/>
        <n v="23500.0"/>
        <n v="102000.0"/>
        <n v="33000.0"/>
        <n v="57000.0"/>
        <n v="90000.0"/>
        <n v="122000.0"/>
        <n v="100000.0"/>
        <n v="43500.0"/>
        <n v="32500.0"/>
      </sharedItems>
    </cacheField>
    <cacheField name="Clicks" numFmtId="0">
      <sharedItems containsSemiMixedTypes="0" containsString="0" containsNumber="1" containsInteger="1">
        <n v="1820.0"/>
        <n v="3100.0"/>
        <n v="620.0"/>
        <n v="4500.0"/>
        <n v="2200.0"/>
        <n v="1450.0"/>
        <n v="2800.0"/>
        <n v="710.0"/>
        <n v="3400.0"/>
        <n v="2600.0"/>
        <n v="2100.0"/>
        <n v="2450.0"/>
        <n v="680.0"/>
        <n v="3900.0"/>
        <n v="2350.0"/>
        <n v="1650.0"/>
        <n v="3300.0"/>
        <n v="820.0"/>
        <n v="1900.0"/>
        <n v="2950.0"/>
        <n v="590.0"/>
        <n v="4200.0"/>
        <n v="1520.0"/>
        <n v="2900.0"/>
        <n v="690.0"/>
        <n v="3550.0"/>
        <n v="2700.0"/>
        <n v="2150.0"/>
        <n v="2850.0"/>
        <n v="750.0"/>
        <n v="3800.0"/>
        <n v="2250.0"/>
        <n v="1600.0"/>
        <n v="650.0"/>
        <n v="3250.0"/>
        <n v="1850.0"/>
        <n v="3000.0"/>
        <n v="730.0"/>
        <n v="4100.0"/>
        <n v="2400.0"/>
        <n v="1750.0"/>
        <n v="670.0"/>
        <n v="3450.0"/>
        <n v="3150.0"/>
        <n v="850.0"/>
        <n v="4300.0"/>
        <n v="2500.0"/>
        <n v="1700.0"/>
        <n v="720.0"/>
        <n v="3500.0"/>
        <n v="1950.0"/>
        <n v="3050.0"/>
        <n v="770.0"/>
        <n v="2300.0"/>
        <n v="1800.0"/>
        <n v="3480.0"/>
        <n v="2000.0"/>
        <n v="3200.0"/>
        <n v="810.0"/>
        <n v="1680.0"/>
        <n v="2880.0"/>
        <n v="740.0"/>
        <n v="3700.0"/>
        <n v="880.0"/>
        <n v="4400.0"/>
        <n v="2550.0"/>
        <n v="1720.0"/>
        <n v="3600.0"/>
        <n v="3180.0"/>
        <n v="840.0"/>
        <n v="4250.0"/>
        <n v="1690.0"/>
        <n v="2920.0"/>
        <n v="3580.0"/>
      </sharedItems>
    </cacheField>
    <cacheField name="Spend_USD" numFmtId="4">
      <sharedItems containsSemiMixedTypes="0" containsString="0" containsNumber="1" containsInteger="1">
        <n v="1250.0"/>
        <n v="2100.0"/>
        <n v="1400.0"/>
        <n v="3200.0"/>
        <n v="350.0"/>
        <n v="1100.0"/>
        <n v="1950.0"/>
        <n v="1650.0"/>
        <n v="2500.0"/>
        <n v="400.0"/>
        <n v="1350.0"/>
        <n v="1700.0"/>
        <n v="1500.0"/>
        <n v="2800.0"/>
        <n v="380.0"/>
        <n v="1180.0"/>
        <n v="2250.0"/>
        <n v="1800.0"/>
        <n v="2300.0"/>
        <n v="450.0"/>
        <n v="1300.0"/>
        <n v="2000.0"/>
        <n v="3000.0"/>
        <n v="320.0"/>
        <n v="1150.0"/>
        <n v="1900.0"/>
        <n v="1600.0"/>
        <n v="2600.0"/>
        <n v="420.0"/>
        <n v="1450.0"/>
        <n v="1920.0"/>
        <n v="2700.0"/>
        <n v="360.0"/>
        <n v="1190.0"/>
        <n v="1850.0"/>
        <n v="2400.0"/>
        <n v="480.0"/>
        <n v="1280.0"/>
        <n v="2050.0"/>
        <n v="1680.0"/>
        <n v="2900.0"/>
        <n v="390.0"/>
        <n v="1220.0"/>
        <n v="1550.0"/>
        <n v="2550.0"/>
        <n v="340.0"/>
        <n v="2150.0"/>
        <n v="3100.0"/>
        <n v="410.0"/>
        <n v="1210.0"/>
        <n v="1980.0"/>
        <n v="1620.0"/>
        <n v="2580.0"/>
        <n v="500.0"/>
        <n v="1320.0"/>
        <n v="2080.0"/>
        <n v="1750.0"/>
        <n v="2750.0"/>
        <n v="375.0"/>
        <n v="1260.0"/>
        <n v="2020.0"/>
        <n v="1580.0"/>
        <n v="2560.0"/>
        <n v="460.0"/>
        <n v="1360.0"/>
        <n v="2180.0"/>
        <n v="1170.0"/>
        <n v="1960.0"/>
        <n v="1690.0"/>
        <n v="2650.0"/>
        <n v="520.0"/>
        <n v="2220.0"/>
        <n v="3150.0"/>
        <n v="415.0"/>
        <n v="1200.0"/>
        <n v="470.0"/>
        <n v="1330.0"/>
        <n v="2120.0"/>
        <n v="3050.0"/>
        <n v="395.0"/>
        <n v="1185.0"/>
        <n v="1990.0"/>
        <n v="1660.0"/>
        <n v="2590.0"/>
        <n v="510.0"/>
      </sharedItems>
    </cacheField>
    <cacheField name="Conversions" numFmtId="0">
      <sharedItems containsSemiMixedTypes="0" containsString="0" containsNumber="1" containsInteger="1">
        <n v="95.0"/>
        <n v="110.0"/>
        <n v="42.0"/>
        <n v="150.0"/>
        <n v="185.0"/>
        <n v="72.0"/>
        <n v="98.0"/>
        <n v="51.0"/>
        <n v="115.0"/>
        <n v="210.0"/>
        <n v="105.0"/>
        <n v="88.0"/>
        <n v="46.0"/>
        <n v="130.0"/>
        <n v="195.0"/>
        <n v="85.0"/>
        <n v="120.0"/>
        <n v="60.0"/>
        <n v="102.0"/>
        <n v="240.0"/>
        <n v="99.0"/>
        <n v="39.0"/>
        <n v="140.0"/>
        <n v="175.0"/>
        <n v="78.0"/>
        <n v="96.0"/>
        <n v="49.0"/>
        <n v="122.0"/>
        <n v="225.0"/>
        <n v="112.0"/>
        <n v="104.0"/>
        <n v="55.0"/>
        <n v="128.0"/>
        <n v="188.0"/>
        <n v="82.0"/>
        <n v="92.0"/>
        <n v="45.0"/>
        <n v="255.0"/>
        <n v="94.0"/>
        <n v="108.0"/>
        <n v="53.0"/>
        <n v="135.0"/>
        <n v="200.0"/>
        <n v="89.0"/>
        <n v="48.0"/>
        <n v="118.0"/>
        <n v="180.0"/>
        <n v="62.0"/>
        <n v="145.0"/>
        <n v="87.0"/>
        <n v="50.0"/>
        <n v="270.0"/>
        <n v="101.0"/>
        <n v="58.0"/>
        <n v="132.0"/>
        <n v="192.0"/>
        <n v="106.0"/>
        <n v="119.0"/>
        <n v="245.0"/>
        <n v="116.0"/>
        <n v="61.0"/>
        <n v="86.0"/>
        <n v="103.0"/>
        <n v="54.0"/>
        <n v="126.0"/>
        <n v="280.0"/>
        <n v="65.0"/>
        <n v="148.0"/>
        <n v="215.0"/>
        <n v="56.0"/>
        <n v="124.0"/>
        <n v="250.0"/>
        <n v="114.0"/>
        <n v="63.0"/>
        <n v="142.0"/>
        <n v="205.0"/>
        <n v="52.0"/>
        <n v="123.0"/>
        <n v="275.0"/>
      </sharedItems>
    </cacheField>
    <cacheField name="Revenue_USD" numFmtId="165">
      <sharedItems containsSemiMixedTypes="0" containsString="0" containsNumber="1" containsInteger="1">
        <n v="4850.0"/>
        <n v="6300.0"/>
        <n v="5600.0"/>
        <n v="9600.0"/>
        <n v="4200.0"/>
        <n v="3960.0"/>
        <n v="5850.0"/>
        <n v="7425.0"/>
        <n v="7750.0"/>
        <n v="5250.0"/>
        <n v="5400.0"/>
        <n v="4930.0"/>
        <n v="6750.0"/>
        <n v="8400.0"/>
        <n v="4750.0"/>
        <n v="4840.0"/>
        <n v="7200.0"/>
        <n v="9000.0"/>
        <n v="6900.0"/>
        <n v="6600.0"/>
        <n v="5148.0"/>
        <n v="6200.0"/>
        <n v="5265.0"/>
        <n v="3850.0"/>
        <n v="4446.0"/>
        <n v="5700.0"/>
        <n v="7040.0"/>
        <n v="8190.0"/>
        <n v="6160.0"/>
        <n v="6240.0"/>
        <n v="7820.0"/>
        <n v="8320.0"/>
        <n v="4324.0"/>
        <n v="4756.0"/>
        <n v="5360.0"/>
        <n v="7480.0"/>
        <n v="7140.0"/>
        <n v="5170.0"/>
        <n v="6264.0"/>
        <n v="7420.0"/>
        <n v="9180.0"/>
        <n v="5000.0"/>
        <n v="5122.0"/>
        <n v="6820.0"/>
        <n v="7990.0"/>
        <n v="9300.0"/>
        <n v="9860.0"/>
        <n v="5460.0"/>
        <n v="5048.0"/>
        <n v="6120.0"/>
        <n v="7290.0"/>
        <n v="8160.0"/>
        <n v="7560.0"/>
        <n v="5757.0"/>
        <n v="6720.0"/>
        <n v="8410.0"/>
        <n v="8844.0"/>
        <n v="4800.0"/>
        <n v="5336.0"/>
        <n v="6360.0"/>
        <n v="7105.0"/>
        <n v="8100.0"/>
        <n v="6860.0"/>
        <n v="6090.0"/>
        <n v="7250.0"/>
        <n v="8845.0"/>
        <n v="10200.0"/>
        <n v="4255.0"/>
        <n v="5010.0"/>
        <n v="6180.0"/>
        <n v="7830.0"/>
        <n v="8505.0"/>
        <n v="8120.0"/>
        <n v="7015.0"/>
        <n v="7379.0"/>
        <n v="9750.0"/>
        <n v="10064.0"/>
        <n v="5590.0"/>
        <n v="5192.0"/>
        <n v="8432.0"/>
        <n v="5916.0"/>
        <n v="7100.0"/>
        <n v="9450.0"/>
        <n v="9656.0"/>
        <n v="5330.0"/>
        <n v="5095.0"/>
        <n v="7900.0"/>
        <n v="8364.0"/>
        <n v="7975.0"/>
      </sharedItems>
    </cacheField>
    <cacheField name="ROAS" numFmtId="2">
      <sharedItems containsSemiMixedTypes="0" containsString="0" containsNumber="1">
        <n v="3.88"/>
        <n v="3.0"/>
        <n v="4.0"/>
        <n v="12.0"/>
        <n v="3.6"/>
        <n v="4.5"/>
        <n v="3.1"/>
        <n v="13.125"/>
        <n v="2.9"/>
        <n v="12.5"/>
        <n v="4.101694915254237"/>
        <n v="3.2"/>
        <n v="5.0"/>
        <n v="14.666666666666666"/>
        <n v="3.96"/>
        <n v="3.9"/>
        <n v="12.03125"/>
        <n v="3.8660869565217393"/>
        <n v="4.4"/>
        <n v="3.15"/>
        <n v="13.928571428571429"/>
        <n v="4.248275862068965"/>
        <n v="3.25"/>
        <n v="4.6"/>
        <n v="3.0814814814814815"/>
        <n v="12.011111111111111"/>
        <n v="3.996638655462185"/>
        <n v="2.8972972972972975"/>
        <n v="4.344827586206897"/>
        <n v="3.1166666666666667"/>
        <n v="14.875"/>
        <n v="4.0390625"/>
        <n v="3.055609756097561"/>
        <n v="4.416666666666667"/>
        <n v="3.1655172413793102"/>
        <n v="12.820512820512821"/>
        <n v="4.198360655737705"/>
        <n v="3.1333333333333333"/>
        <n v="11.647058823529411"/>
        <n v="3.2093023255813953"/>
        <n v="5.027027027027027"/>
        <n v="3.1806451612903226"/>
        <n v="13.317073170731707"/>
        <n v="4.171900826446281"/>
        <n v="3.090909090909091"/>
        <n v="3.1627906976744184"/>
        <n v="15.12"/>
        <n v="4.361363636363636"/>
        <n v="3.230769230769231"/>
        <n v="4.805714285714286"/>
        <n v="3.216"/>
        <n v="12.8"/>
        <n v="4.234920634920635"/>
        <n v="3.1485148514851486"/>
        <n v="4.496835443037975"/>
        <n v="3.1640625"/>
        <n v="14.91304347826087"/>
        <n v="4.477941176470588"/>
        <n v="3.3256880733944953"/>
        <n v="4.913888888888889"/>
        <n v="3.1875"/>
        <n v="12.157142857142857"/>
        <n v="4.282051282051282"/>
        <n v="3.1530612244897958"/>
        <n v="4.633136094674557"/>
        <n v="3.209433962264151"/>
        <n v="15.615384615384615"/>
        <n v="4.525806451612903"/>
        <n v="3.323873873873874"/>
        <n v="5.078125"/>
        <n v="3.194920634920635"/>
        <n v="13.46987951807229"/>
        <n v="4.326666666666667"/>
        <n v="4.776470588235294"/>
        <n v="3.243076923076923"/>
        <n v="15.425531914893616"/>
        <n v="4.44812030075188"/>
        <n v="3.349056603773585"/>
        <n v="5.108108108108108"/>
        <n v="3.1659016393442623"/>
        <n v="13.49367088607595"/>
        <n v="4.29957805907173"/>
        <n v="3.1055276381909547"/>
        <n v="4.759036144578313"/>
        <n v="3.2293436293436293"/>
        <n v="15.63725490196078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cacheId="0" dataCaption="" compact="0" compactData="0">
  <location ref="A10:D16" firstHeaderRow="0" firstDataRow="2" firstDataCol="0"/>
  <pivotFields>
    <pivotField name="Campaign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Channel" axis="axisRow" compact="0" outline="0" multipleItemSelectionAllowed="1" showAll="0" sortType="ascending">
      <items>
        <item x="4"/>
        <item x="0"/>
        <item x="2"/>
        <item x="1"/>
        <item x="3"/>
        <item t="default"/>
      </items>
    </pivotField>
    <pivotField name="Campaign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Impress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Clic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Spend_USD"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Convers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Revenue_USD"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ROAS"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s>
  <rowFields>
    <field x="2"/>
  </rowFields>
  <colFields>
    <field x="-2"/>
  </colFields>
  <dataFields>
    <dataField name="SUM of Spend_USD" fld="6" baseField="0"/>
    <dataField name="SUM of Revenue_USD" fld="8" baseField="0"/>
    <dataField name="SUM of Conversions" fld="7"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hannel">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hannel_1" cache="SlicerCache_Table_1_Col_3" caption="Channel" rowHeight="247650"/>
</x14:slicers>
</file>

<file path=xl/tables/table1.xml><?xml version="1.0" encoding="utf-8"?>
<table xmlns="http://schemas.openxmlformats.org/spreadsheetml/2006/main" ref="A1:I101" displayName="Table_1" name="Table_1" id="1">
  <autoFilter ref="$A$1:$I$101"/>
  <tableColumns count="9">
    <tableColumn name="Campaign_ID" id="1"/>
    <tableColumn name="Date" id="2"/>
    <tableColumn name="Channel" id="3"/>
    <tableColumn name="Campaign_Name" id="4"/>
    <tableColumn name="Impressions" id="5"/>
    <tableColumn name="Clicks" id="6"/>
    <tableColumn name="Spend_USD" id="7"/>
    <tableColumn name="Conversions" id="8"/>
    <tableColumn name="Revenue_USD"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3"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9.5"/>
    <col customWidth="1" min="3" max="3" width="9.75"/>
    <col customWidth="1" min="4" max="4" width="23.25"/>
    <col customWidth="1" min="5" max="5" width="11.75"/>
    <col customWidth="1" min="6" max="6" width="6.38"/>
    <col customWidth="1" min="7" max="7" width="11.5"/>
    <col customWidth="1" min="8" max="8" width="12.13"/>
    <col customWidth="1" min="9" max="9" width="13.5"/>
    <col customWidth="1" min="10" max="10" width="10.75"/>
  </cols>
  <sheetData>
    <row r="1">
      <c r="A1" s="1" t="s">
        <v>19</v>
      </c>
      <c r="B1" s="1" t="s">
        <v>21</v>
      </c>
      <c r="C1" s="1" t="s">
        <v>0</v>
      </c>
      <c r="D1" s="1" t="s">
        <v>22</v>
      </c>
      <c r="E1" s="1" t="s">
        <v>23</v>
      </c>
      <c r="F1" s="1" t="s">
        <v>24</v>
      </c>
      <c r="G1" s="7" t="s">
        <v>25</v>
      </c>
      <c r="H1" s="1" t="s">
        <v>26</v>
      </c>
      <c r="I1" s="4" t="s">
        <v>27</v>
      </c>
      <c r="J1" s="12" t="s">
        <v>28</v>
      </c>
    </row>
    <row r="2">
      <c r="A2" s="6" t="s">
        <v>29</v>
      </c>
      <c r="B2" s="14">
        <v>46023.0</v>
      </c>
      <c r="C2" s="6" t="s">
        <v>9</v>
      </c>
      <c r="D2" s="6" t="s">
        <v>30</v>
      </c>
      <c r="E2" s="6">
        <v>45200.0</v>
      </c>
      <c r="F2" s="6">
        <v>1820.0</v>
      </c>
      <c r="G2" s="15">
        <v>1250.0</v>
      </c>
      <c r="H2" s="6">
        <v>95.0</v>
      </c>
      <c r="I2" s="9">
        <v>4850.0</v>
      </c>
      <c r="J2" s="8">
        <f t="shared" ref="J2:J101" si="1">VALUE(I2)/VALUE(G2)</f>
        <v>3.88</v>
      </c>
    </row>
    <row r="3">
      <c r="A3" s="6" t="s">
        <v>31</v>
      </c>
      <c r="B3" s="14">
        <v>46024.0</v>
      </c>
      <c r="C3" s="6" t="s">
        <v>12</v>
      </c>
      <c r="D3" s="6" t="s">
        <v>32</v>
      </c>
      <c r="E3" s="6">
        <v>89000.0</v>
      </c>
      <c r="F3" s="6">
        <v>3100.0</v>
      </c>
      <c r="G3" s="15">
        <v>2100.0</v>
      </c>
      <c r="H3" s="6">
        <v>110.0</v>
      </c>
      <c r="I3" s="9">
        <v>6300.0</v>
      </c>
      <c r="J3" s="8">
        <f t="shared" si="1"/>
        <v>3</v>
      </c>
    </row>
    <row r="4">
      <c r="A4" s="6" t="s">
        <v>33</v>
      </c>
      <c r="B4" s="14">
        <v>46025.0</v>
      </c>
      <c r="C4" s="6" t="s">
        <v>14</v>
      </c>
      <c r="D4" s="6" t="s">
        <v>34</v>
      </c>
      <c r="E4" s="6">
        <v>18500.0</v>
      </c>
      <c r="F4" s="6">
        <v>620.0</v>
      </c>
      <c r="G4" s="15">
        <v>1400.0</v>
      </c>
      <c r="H4" s="6">
        <v>42.0</v>
      </c>
      <c r="I4" s="9">
        <v>5600.0</v>
      </c>
      <c r="J4" s="8">
        <f t="shared" si="1"/>
        <v>4</v>
      </c>
    </row>
    <row r="5">
      <c r="A5" s="6" t="s">
        <v>35</v>
      </c>
      <c r="B5" s="14">
        <v>46026.0</v>
      </c>
      <c r="C5" s="6" t="s">
        <v>16</v>
      </c>
      <c r="D5" s="6" t="s">
        <v>36</v>
      </c>
      <c r="E5" s="6">
        <v>125000.0</v>
      </c>
      <c r="F5" s="6">
        <v>4500.0</v>
      </c>
      <c r="G5" s="15">
        <v>3200.0</v>
      </c>
      <c r="H5" s="6">
        <v>150.0</v>
      </c>
      <c r="I5" s="9">
        <v>9600.0</v>
      </c>
      <c r="J5" s="8">
        <f t="shared" si="1"/>
        <v>3</v>
      </c>
    </row>
    <row r="6">
      <c r="A6" s="6" t="s">
        <v>37</v>
      </c>
      <c r="B6" s="14">
        <v>46027.0</v>
      </c>
      <c r="C6" s="6" t="s">
        <v>18</v>
      </c>
      <c r="D6" s="6" t="s">
        <v>38</v>
      </c>
      <c r="E6" s="6">
        <v>25000.0</v>
      </c>
      <c r="F6" s="6">
        <v>2200.0</v>
      </c>
      <c r="G6" s="15">
        <v>350.0</v>
      </c>
      <c r="H6" s="6">
        <v>185.0</v>
      </c>
      <c r="I6" s="9">
        <v>4200.0</v>
      </c>
      <c r="J6" s="8">
        <f t="shared" si="1"/>
        <v>12</v>
      </c>
    </row>
    <row r="7">
      <c r="A7" s="6" t="s">
        <v>39</v>
      </c>
      <c r="B7" s="14">
        <v>46028.0</v>
      </c>
      <c r="C7" s="6" t="s">
        <v>9</v>
      </c>
      <c r="D7" s="6" t="s">
        <v>40</v>
      </c>
      <c r="E7" s="6">
        <v>38000.0</v>
      </c>
      <c r="F7" s="6">
        <v>1450.0</v>
      </c>
      <c r="G7" s="15">
        <v>1100.0</v>
      </c>
      <c r="H7" s="6">
        <v>72.0</v>
      </c>
      <c r="I7" s="9">
        <v>3960.0</v>
      </c>
      <c r="J7" s="8">
        <f t="shared" si="1"/>
        <v>3.6</v>
      </c>
    </row>
    <row r="8">
      <c r="A8" s="6" t="s">
        <v>41</v>
      </c>
      <c r="B8" s="14">
        <v>46029.0</v>
      </c>
      <c r="C8" s="6" t="s">
        <v>12</v>
      </c>
      <c r="D8" s="6" t="s">
        <v>42</v>
      </c>
      <c r="E8" s="6">
        <v>74000.0</v>
      </c>
      <c r="F8" s="6">
        <v>2800.0</v>
      </c>
      <c r="G8" s="15">
        <v>1950.0</v>
      </c>
      <c r="H8" s="6">
        <v>98.0</v>
      </c>
      <c r="I8" s="9">
        <v>5850.0</v>
      </c>
      <c r="J8" s="8">
        <f t="shared" si="1"/>
        <v>3</v>
      </c>
    </row>
    <row r="9">
      <c r="A9" s="6" t="s">
        <v>43</v>
      </c>
      <c r="B9" s="14">
        <v>46030.0</v>
      </c>
      <c r="C9" s="6" t="s">
        <v>14</v>
      </c>
      <c r="D9" s="6" t="s">
        <v>44</v>
      </c>
      <c r="E9" s="6">
        <v>21000.0</v>
      </c>
      <c r="F9" s="6">
        <v>710.0</v>
      </c>
      <c r="G9" s="15">
        <v>1650.0</v>
      </c>
      <c r="H9" s="6">
        <v>51.0</v>
      </c>
      <c r="I9" s="9">
        <v>7425.0</v>
      </c>
      <c r="J9" s="8">
        <f t="shared" si="1"/>
        <v>4.5</v>
      </c>
    </row>
    <row r="10">
      <c r="A10" s="6" t="s">
        <v>45</v>
      </c>
      <c r="B10" s="14">
        <v>46031.0</v>
      </c>
      <c r="C10" s="6" t="s">
        <v>16</v>
      </c>
      <c r="D10" s="6" t="s">
        <v>46</v>
      </c>
      <c r="E10" s="6">
        <v>95000.0</v>
      </c>
      <c r="F10" s="6">
        <v>3400.0</v>
      </c>
      <c r="G10" s="15">
        <v>2500.0</v>
      </c>
      <c r="H10" s="6">
        <v>115.0</v>
      </c>
      <c r="I10" s="9">
        <v>7750.0</v>
      </c>
      <c r="J10" s="8">
        <f t="shared" si="1"/>
        <v>3.1</v>
      </c>
    </row>
    <row r="11">
      <c r="A11" s="6" t="s">
        <v>47</v>
      </c>
      <c r="B11" s="14">
        <v>46032.0</v>
      </c>
      <c r="C11" s="6" t="s">
        <v>18</v>
      </c>
      <c r="D11" s="6" t="s">
        <v>48</v>
      </c>
      <c r="E11" s="6">
        <v>28000.0</v>
      </c>
      <c r="F11" s="6">
        <v>2600.0</v>
      </c>
      <c r="G11" s="15">
        <v>400.0</v>
      </c>
      <c r="H11" s="6">
        <v>210.0</v>
      </c>
      <c r="I11" s="9">
        <v>5250.0</v>
      </c>
      <c r="J11" s="8">
        <f t="shared" si="1"/>
        <v>13.125</v>
      </c>
    </row>
    <row r="12">
      <c r="A12" s="6" t="s">
        <v>49</v>
      </c>
      <c r="B12" s="14">
        <v>46033.0</v>
      </c>
      <c r="C12" s="6" t="s">
        <v>9</v>
      </c>
      <c r="D12" s="6" t="s">
        <v>50</v>
      </c>
      <c r="E12" s="6">
        <v>51000.0</v>
      </c>
      <c r="F12" s="6">
        <v>2100.0</v>
      </c>
      <c r="G12" s="15">
        <v>1350.0</v>
      </c>
      <c r="H12" s="6">
        <v>105.0</v>
      </c>
      <c r="I12" s="9">
        <v>5400.0</v>
      </c>
      <c r="J12" s="8">
        <f t="shared" si="1"/>
        <v>4</v>
      </c>
    </row>
    <row r="13">
      <c r="A13" s="6" t="s">
        <v>51</v>
      </c>
      <c r="B13" s="14">
        <v>46034.0</v>
      </c>
      <c r="C13" s="6" t="s">
        <v>12</v>
      </c>
      <c r="D13" s="6" t="s">
        <v>52</v>
      </c>
      <c r="E13" s="6">
        <v>68000.0</v>
      </c>
      <c r="F13" s="6">
        <v>2450.0</v>
      </c>
      <c r="G13" s="15">
        <v>1700.0</v>
      </c>
      <c r="H13" s="6">
        <v>88.0</v>
      </c>
      <c r="I13" s="9">
        <v>4930.0</v>
      </c>
      <c r="J13" s="8">
        <f t="shared" si="1"/>
        <v>2.9</v>
      </c>
    </row>
    <row r="14">
      <c r="A14" s="6" t="s">
        <v>53</v>
      </c>
      <c r="B14" s="14">
        <v>46035.0</v>
      </c>
      <c r="C14" s="6" t="s">
        <v>14</v>
      </c>
      <c r="D14" s="6" t="s">
        <v>54</v>
      </c>
      <c r="E14" s="6">
        <v>19200.0</v>
      </c>
      <c r="F14" s="6">
        <v>680.0</v>
      </c>
      <c r="G14" s="15">
        <v>1500.0</v>
      </c>
      <c r="H14" s="6">
        <v>46.0</v>
      </c>
      <c r="I14" s="9">
        <v>6750.0</v>
      </c>
      <c r="J14" s="8">
        <f t="shared" si="1"/>
        <v>4.5</v>
      </c>
    </row>
    <row r="15">
      <c r="A15" s="6" t="s">
        <v>55</v>
      </c>
      <c r="B15" s="14">
        <v>46036.0</v>
      </c>
      <c r="C15" s="6" t="s">
        <v>16</v>
      </c>
      <c r="D15" s="6" t="s">
        <v>56</v>
      </c>
      <c r="E15" s="6">
        <v>110000.0</v>
      </c>
      <c r="F15" s="6">
        <v>3900.0</v>
      </c>
      <c r="G15" s="15">
        <v>2800.0</v>
      </c>
      <c r="H15" s="6">
        <v>130.0</v>
      </c>
      <c r="I15" s="9">
        <v>8400.0</v>
      </c>
      <c r="J15" s="8">
        <f t="shared" si="1"/>
        <v>3</v>
      </c>
    </row>
    <row r="16">
      <c r="A16" s="6" t="s">
        <v>57</v>
      </c>
      <c r="B16" s="14">
        <v>46037.0</v>
      </c>
      <c r="C16" s="6" t="s">
        <v>18</v>
      </c>
      <c r="D16" s="6" t="s">
        <v>58</v>
      </c>
      <c r="E16" s="6">
        <v>26500.0</v>
      </c>
      <c r="F16" s="6">
        <v>2350.0</v>
      </c>
      <c r="G16" s="15">
        <v>380.0</v>
      </c>
      <c r="H16" s="6">
        <v>195.0</v>
      </c>
      <c r="I16" s="9">
        <v>4750.0</v>
      </c>
      <c r="J16" s="8">
        <f t="shared" si="1"/>
        <v>12.5</v>
      </c>
    </row>
    <row r="17">
      <c r="A17" s="6" t="s">
        <v>59</v>
      </c>
      <c r="B17" s="14">
        <v>46038.0</v>
      </c>
      <c r="C17" s="6" t="s">
        <v>9</v>
      </c>
      <c r="D17" s="6" t="s">
        <v>60</v>
      </c>
      <c r="E17" s="6">
        <v>42000.0</v>
      </c>
      <c r="F17" s="6">
        <v>1650.0</v>
      </c>
      <c r="G17" s="15">
        <v>1180.0</v>
      </c>
      <c r="H17" s="6">
        <v>85.0</v>
      </c>
      <c r="I17" s="9">
        <v>4840.0</v>
      </c>
      <c r="J17" s="8">
        <f t="shared" si="1"/>
        <v>4.101694915</v>
      </c>
    </row>
    <row r="18">
      <c r="A18" s="6" t="s">
        <v>61</v>
      </c>
      <c r="B18" s="14">
        <v>46039.0</v>
      </c>
      <c r="C18" s="6" t="s">
        <v>12</v>
      </c>
      <c r="D18" s="6" t="s">
        <v>62</v>
      </c>
      <c r="E18" s="6">
        <v>92000.0</v>
      </c>
      <c r="F18" s="6">
        <v>3300.0</v>
      </c>
      <c r="G18" s="15">
        <v>2250.0</v>
      </c>
      <c r="H18" s="6">
        <v>120.0</v>
      </c>
      <c r="I18" s="9">
        <v>7200.0</v>
      </c>
      <c r="J18" s="8">
        <f t="shared" si="1"/>
        <v>3.2</v>
      </c>
    </row>
    <row r="19">
      <c r="A19" s="6" t="s">
        <v>63</v>
      </c>
      <c r="B19" s="14">
        <v>46040.0</v>
      </c>
      <c r="C19" s="6" t="s">
        <v>14</v>
      </c>
      <c r="D19" s="6" t="s">
        <v>64</v>
      </c>
      <c r="E19" s="6">
        <v>23000.0</v>
      </c>
      <c r="F19" s="6">
        <v>820.0</v>
      </c>
      <c r="G19" s="15">
        <v>1800.0</v>
      </c>
      <c r="H19" s="6">
        <v>60.0</v>
      </c>
      <c r="I19" s="9">
        <v>9000.0</v>
      </c>
      <c r="J19" s="8">
        <f t="shared" si="1"/>
        <v>5</v>
      </c>
    </row>
    <row r="20">
      <c r="A20" s="6" t="s">
        <v>65</v>
      </c>
      <c r="B20" s="14">
        <v>46041.0</v>
      </c>
      <c r="C20" s="6" t="s">
        <v>16</v>
      </c>
      <c r="D20" s="6" t="s">
        <v>66</v>
      </c>
      <c r="E20" s="6">
        <v>88000.0</v>
      </c>
      <c r="F20" s="6">
        <v>3100.0</v>
      </c>
      <c r="G20" s="15">
        <v>2300.0</v>
      </c>
      <c r="H20" s="6">
        <v>102.0</v>
      </c>
      <c r="I20" s="9">
        <v>6900.0</v>
      </c>
      <c r="J20" s="8">
        <f t="shared" si="1"/>
        <v>3</v>
      </c>
    </row>
    <row r="21">
      <c r="A21" s="6" t="s">
        <v>67</v>
      </c>
      <c r="B21" s="14">
        <v>46042.0</v>
      </c>
      <c r="C21" s="6" t="s">
        <v>18</v>
      </c>
      <c r="D21" s="6" t="s">
        <v>68</v>
      </c>
      <c r="E21" s="6">
        <v>30000.0</v>
      </c>
      <c r="F21" s="6">
        <v>2800.0</v>
      </c>
      <c r="G21" s="15">
        <v>450.0</v>
      </c>
      <c r="H21" s="6">
        <v>240.0</v>
      </c>
      <c r="I21" s="9">
        <v>6600.0</v>
      </c>
      <c r="J21" s="8">
        <f t="shared" si="1"/>
        <v>14.66666667</v>
      </c>
    </row>
    <row r="22">
      <c r="A22" s="6" t="s">
        <v>69</v>
      </c>
      <c r="B22" s="14">
        <v>46043.0</v>
      </c>
      <c r="C22" s="6" t="s">
        <v>9</v>
      </c>
      <c r="D22" s="6" t="s">
        <v>70</v>
      </c>
      <c r="E22" s="6">
        <v>47000.0</v>
      </c>
      <c r="F22" s="6">
        <v>1900.0</v>
      </c>
      <c r="G22" s="15">
        <v>1300.0</v>
      </c>
      <c r="H22" s="6">
        <v>99.0</v>
      </c>
      <c r="I22" s="9">
        <v>5148.0</v>
      </c>
      <c r="J22" s="8">
        <f t="shared" si="1"/>
        <v>3.96</v>
      </c>
    </row>
    <row r="23">
      <c r="A23" s="6" t="s">
        <v>72</v>
      </c>
      <c r="B23" s="14">
        <v>46044.0</v>
      </c>
      <c r="C23" s="6" t="s">
        <v>12</v>
      </c>
      <c r="D23" s="6" t="s">
        <v>73</v>
      </c>
      <c r="E23" s="6">
        <v>85000.0</v>
      </c>
      <c r="F23" s="6">
        <v>2950.0</v>
      </c>
      <c r="G23" s="15">
        <v>2000.0</v>
      </c>
      <c r="H23" s="6">
        <v>105.0</v>
      </c>
      <c r="I23" s="9">
        <v>6200.0</v>
      </c>
      <c r="J23" s="8">
        <f t="shared" si="1"/>
        <v>3.1</v>
      </c>
    </row>
    <row r="24">
      <c r="A24" s="6" t="s">
        <v>74</v>
      </c>
      <c r="B24" s="14">
        <v>46045.0</v>
      </c>
      <c r="C24" s="6" t="s">
        <v>14</v>
      </c>
      <c r="D24" s="6" t="s">
        <v>75</v>
      </c>
      <c r="E24" s="6">
        <v>17800.0</v>
      </c>
      <c r="F24" s="6">
        <v>590.0</v>
      </c>
      <c r="G24" s="15">
        <v>1350.0</v>
      </c>
      <c r="H24" s="6">
        <v>39.0</v>
      </c>
      <c r="I24" s="9">
        <v>5265.0</v>
      </c>
      <c r="J24" s="8">
        <f t="shared" si="1"/>
        <v>3.9</v>
      </c>
    </row>
    <row r="25">
      <c r="A25" s="6" t="s">
        <v>76</v>
      </c>
      <c r="B25" s="14">
        <v>46046.0</v>
      </c>
      <c r="C25" s="6" t="s">
        <v>16</v>
      </c>
      <c r="D25" s="6" t="s">
        <v>77</v>
      </c>
      <c r="E25" s="6">
        <v>118000.0</v>
      </c>
      <c r="F25" s="6">
        <v>4200.0</v>
      </c>
      <c r="G25" s="15">
        <v>3000.0</v>
      </c>
      <c r="H25" s="6">
        <v>140.0</v>
      </c>
      <c r="I25" s="9">
        <v>9000.0</v>
      </c>
      <c r="J25" s="8">
        <f t="shared" si="1"/>
        <v>3</v>
      </c>
    </row>
    <row r="26">
      <c r="A26" s="6" t="s">
        <v>78</v>
      </c>
      <c r="B26" s="14">
        <v>46047.0</v>
      </c>
      <c r="C26" s="6" t="s">
        <v>18</v>
      </c>
      <c r="D26" s="6" t="s">
        <v>79</v>
      </c>
      <c r="E26" s="6">
        <v>24000.0</v>
      </c>
      <c r="F26" s="6">
        <v>2100.0</v>
      </c>
      <c r="G26" s="15">
        <v>320.0</v>
      </c>
      <c r="H26" s="6">
        <v>175.0</v>
      </c>
      <c r="I26" s="9">
        <v>3850.0</v>
      </c>
      <c r="J26" s="8">
        <f t="shared" si="1"/>
        <v>12.03125</v>
      </c>
    </row>
    <row r="27">
      <c r="A27" s="6" t="s">
        <v>80</v>
      </c>
      <c r="B27" s="14">
        <v>46048.0</v>
      </c>
      <c r="C27" s="6" t="s">
        <v>9</v>
      </c>
      <c r="D27" s="6" t="s">
        <v>81</v>
      </c>
      <c r="E27" s="6">
        <v>39500.0</v>
      </c>
      <c r="F27" s="6">
        <v>1520.0</v>
      </c>
      <c r="G27" s="15">
        <v>1150.0</v>
      </c>
      <c r="H27" s="6">
        <v>78.0</v>
      </c>
      <c r="I27" s="9">
        <v>4446.0</v>
      </c>
      <c r="J27" s="8">
        <f t="shared" si="1"/>
        <v>3.866086957</v>
      </c>
    </row>
    <row r="28">
      <c r="A28" s="6" t="s">
        <v>82</v>
      </c>
      <c r="B28" s="14">
        <v>46049.0</v>
      </c>
      <c r="C28" s="6" t="s">
        <v>12</v>
      </c>
      <c r="D28" s="6" t="s">
        <v>83</v>
      </c>
      <c r="E28" s="6">
        <v>79000.0</v>
      </c>
      <c r="F28" s="6">
        <v>2900.0</v>
      </c>
      <c r="G28" s="15">
        <v>1900.0</v>
      </c>
      <c r="H28" s="6">
        <v>96.0</v>
      </c>
      <c r="I28" s="9">
        <v>5700.0</v>
      </c>
      <c r="J28" s="8">
        <f t="shared" si="1"/>
        <v>3</v>
      </c>
    </row>
    <row r="29">
      <c r="A29" s="6" t="s">
        <v>84</v>
      </c>
      <c r="B29" s="14">
        <v>46050.0</v>
      </c>
      <c r="C29" s="6" t="s">
        <v>14</v>
      </c>
      <c r="D29" s="6" t="s">
        <v>85</v>
      </c>
      <c r="E29" s="6">
        <v>20500.0</v>
      </c>
      <c r="F29" s="6">
        <v>690.0</v>
      </c>
      <c r="G29" s="15">
        <v>1600.0</v>
      </c>
      <c r="H29" s="6">
        <v>49.0</v>
      </c>
      <c r="I29" s="9">
        <v>7040.0</v>
      </c>
      <c r="J29" s="8">
        <f t="shared" si="1"/>
        <v>4.4</v>
      </c>
    </row>
    <row r="30">
      <c r="A30" s="6" t="s">
        <v>86</v>
      </c>
      <c r="B30" s="14">
        <v>46051.0</v>
      </c>
      <c r="C30" s="6" t="s">
        <v>16</v>
      </c>
      <c r="D30" s="6" t="s">
        <v>87</v>
      </c>
      <c r="E30" s="6">
        <v>99000.0</v>
      </c>
      <c r="F30" s="6">
        <v>3550.0</v>
      </c>
      <c r="G30" s="15">
        <v>2600.0</v>
      </c>
      <c r="H30" s="6">
        <v>122.0</v>
      </c>
      <c r="I30" s="9">
        <v>8190.0</v>
      </c>
      <c r="J30" s="8">
        <f t="shared" si="1"/>
        <v>3.15</v>
      </c>
    </row>
    <row r="31">
      <c r="A31" s="6" t="s">
        <v>88</v>
      </c>
      <c r="B31" s="14">
        <v>46052.0</v>
      </c>
      <c r="C31" s="6" t="s">
        <v>18</v>
      </c>
      <c r="D31" s="6" t="s">
        <v>89</v>
      </c>
      <c r="E31" s="6">
        <v>29000.0</v>
      </c>
      <c r="F31" s="6">
        <v>2700.0</v>
      </c>
      <c r="G31" s="15">
        <v>420.0</v>
      </c>
      <c r="H31" s="6">
        <v>225.0</v>
      </c>
      <c r="I31" s="9">
        <v>5850.0</v>
      </c>
      <c r="J31" s="8">
        <f t="shared" si="1"/>
        <v>13.92857143</v>
      </c>
    </row>
    <row r="32">
      <c r="A32" s="6" t="s">
        <v>90</v>
      </c>
      <c r="B32" s="14">
        <v>46054.0</v>
      </c>
      <c r="C32" s="6" t="s">
        <v>9</v>
      </c>
      <c r="D32" s="6" t="s">
        <v>91</v>
      </c>
      <c r="E32" s="6">
        <v>53000.0</v>
      </c>
      <c r="F32" s="6">
        <v>2150.0</v>
      </c>
      <c r="G32" s="15">
        <v>1450.0</v>
      </c>
      <c r="H32" s="6">
        <v>112.0</v>
      </c>
      <c r="I32" s="9">
        <v>6160.0</v>
      </c>
      <c r="J32" s="8">
        <f t="shared" si="1"/>
        <v>4.248275862</v>
      </c>
    </row>
    <row r="33">
      <c r="A33" s="6" t="s">
        <v>93</v>
      </c>
      <c r="B33" s="14">
        <v>46055.0</v>
      </c>
      <c r="C33" s="6" t="s">
        <v>12</v>
      </c>
      <c r="D33" s="6" t="s">
        <v>94</v>
      </c>
      <c r="E33" s="6">
        <v>81000.0</v>
      </c>
      <c r="F33" s="6">
        <v>2850.0</v>
      </c>
      <c r="G33" s="15">
        <v>1920.0</v>
      </c>
      <c r="H33" s="6">
        <v>104.0</v>
      </c>
      <c r="I33" s="9">
        <v>6240.0</v>
      </c>
      <c r="J33" s="8">
        <f t="shared" si="1"/>
        <v>3.25</v>
      </c>
    </row>
    <row r="34">
      <c r="A34" s="6" t="s">
        <v>95</v>
      </c>
      <c r="B34" s="14">
        <v>46056.0</v>
      </c>
      <c r="C34" s="6" t="s">
        <v>14</v>
      </c>
      <c r="D34" s="6" t="s">
        <v>96</v>
      </c>
      <c r="E34" s="6">
        <v>22000.0</v>
      </c>
      <c r="F34" s="6">
        <v>750.0</v>
      </c>
      <c r="G34" s="15">
        <v>1700.0</v>
      </c>
      <c r="H34" s="6">
        <v>55.0</v>
      </c>
      <c r="I34" s="9">
        <v>7820.0</v>
      </c>
      <c r="J34" s="8">
        <f t="shared" si="1"/>
        <v>4.6</v>
      </c>
    </row>
    <row r="35">
      <c r="A35" s="6" t="s">
        <v>98</v>
      </c>
      <c r="B35" s="14">
        <v>46057.0</v>
      </c>
      <c r="C35" s="6" t="s">
        <v>16</v>
      </c>
      <c r="D35" s="6" t="s">
        <v>99</v>
      </c>
      <c r="E35" s="6">
        <v>105000.0</v>
      </c>
      <c r="F35" s="6">
        <v>3800.0</v>
      </c>
      <c r="G35" s="15">
        <v>2700.0</v>
      </c>
      <c r="H35" s="6">
        <v>128.0</v>
      </c>
      <c r="I35" s="9">
        <v>8320.0</v>
      </c>
      <c r="J35" s="8">
        <f t="shared" si="1"/>
        <v>3.081481481</v>
      </c>
    </row>
    <row r="36">
      <c r="A36" s="6" t="s">
        <v>100</v>
      </c>
      <c r="B36" s="14">
        <v>46058.0</v>
      </c>
      <c r="C36" s="6" t="s">
        <v>18</v>
      </c>
      <c r="D36" s="6" t="s">
        <v>101</v>
      </c>
      <c r="E36" s="6">
        <v>26000.0</v>
      </c>
      <c r="F36" s="6">
        <v>2250.0</v>
      </c>
      <c r="G36" s="15">
        <v>360.0</v>
      </c>
      <c r="H36" s="6">
        <v>188.0</v>
      </c>
      <c r="I36" s="9">
        <v>4324.0</v>
      </c>
      <c r="J36" s="8">
        <f t="shared" si="1"/>
        <v>12.01111111</v>
      </c>
    </row>
    <row r="37">
      <c r="A37" s="6" t="s">
        <v>102</v>
      </c>
      <c r="B37" s="14">
        <v>46059.0</v>
      </c>
      <c r="C37" s="6" t="s">
        <v>9</v>
      </c>
      <c r="D37" s="6" t="s">
        <v>103</v>
      </c>
      <c r="E37" s="6">
        <v>41000.0</v>
      </c>
      <c r="F37" s="6">
        <v>1600.0</v>
      </c>
      <c r="G37" s="15">
        <v>1190.0</v>
      </c>
      <c r="H37" s="6">
        <v>82.0</v>
      </c>
      <c r="I37" s="9">
        <v>4756.0</v>
      </c>
      <c r="J37" s="8">
        <f t="shared" si="1"/>
        <v>3.996638655</v>
      </c>
    </row>
    <row r="38">
      <c r="A38" s="6" t="s">
        <v>104</v>
      </c>
      <c r="B38" s="14">
        <v>46060.0</v>
      </c>
      <c r="C38" s="6" t="s">
        <v>12</v>
      </c>
      <c r="D38" s="6" t="s">
        <v>106</v>
      </c>
      <c r="E38" s="6">
        <v>76000.0</v>
      </c>
      <c r="F38" s="6">
        <v>2700.0</v>
      </c>
      <c r="G38" s="15">
        <v>1850.0</v>
      </c>
      <c r="H38" s="6">
        <v>92.0</v>
      </c>
      <c r="I38" s="9">
        <v>5360.0</v>
      </c>
      <c r="J38" s="8">
        <f t="shared" si="1"/>
        <v>2.897297297</v>
      </c>
    </row>
    <row r="39">
      <c r="A39" s="6" t="s">
        <v>107</v>
      </c>
      <c r="B39" s="14">
        <v>46061.0</v>
      </c>
      <c r="C39" s="6" t="s">
        <v>14</v>
      </c>
      <c r="D39" s="6" t="s">
        <v>108</v>
      </c>
      <c r="E39" s="6">
        <v>19500.0</v>
      </c>
      <c r="F39" s="6">
        <v>650.0</v>
      </c>
      <c r="G39" s="15">
        <v>1450.0</v>
      </c>
      <c r="H39" s="6">
        <v>45.0</v>
      </c>
      <c r="I39" s="9">
        <v>6300.0</v>
      </c>
      <c r="J39" s="8">
        <f t="shared" si="1"/>
        <v>4.344827586</v>
      </c>
    </row>
    <row r="40">
      <c r="A40" s="6" t="s">
        <v>109</v>
      </c>
      <c r="B40" s="14">
        <v>46062.0</v>
      </c>
      <c r="C40" s="6" t="s">
        <v>16</v>
      </c>
      <c r="D40" s="6" t="s">
        <v>110</v>
      </c>
      <c r="E40" s="6">
        <v>91000.0</v>
      </c>
      <c r="F40" s="6">
        <v>3250.0</v>
      </c>
      <c r="G40" s="15">
        <v>2400.0</v>
      </c>
      <c r="H40" s="6">
        <v>110.0</v>
      </c>
      <c r="I40" s="9">
        <v>7480.0</v>
      </c>
      <c r="J40" s="8">
        <f t="shared" si="1"/>
        <v>3.116666667</v>
      </c>
    </row>
    <row r="41">
      <c r="A41" s="6" t="s">
        <v>112</v>
      </c>
      <c r="B41" s="14">
        <v>46063.0</v>
      </c>
      <c r="C41" s="6" t="s">
        <v>18</v>
      </c>
      <c r="D41" s="6" t="s">
        <v>113</v>
      </c>
      <c r="E41" s="6">
        <v>31000.0</v>
      </c>
      <c r="F41" s="6">
        <v>2950.0</v>
      </c>
      <c r="G41" s="15">
        <v>480.0</v>
      </c>
      <c r="H41" s="6">
        <v>255.0</v>
      </c>
      <c r="I41" s="9">
        <v>7140.0</v>
      </c>
      <c r="J41" s="8">
        <f t="shared" si="1"/>
        <v>14.875</v>
      </c>
    </row>
    <row r="42">
      <c r="A42" s="6" t="s">
        <v>117</v>
      </c>
      <c r="B42" s="14">
        <v>46064.0</v>
      </c>
      <c r="C42" s="6" t="s">
        <v>9</v>
      </c>
      <c r="D42" s="6" t="s">
        <v>118</v>
      </c>
      <c r="E42" s="6">
        <v>46000.0</v>
      </c>
      <c r="F42" s="6">
        <v>1850.0</v>
      </c>
      <c r="G42" s="15">
        <v>1280.0</v>
      </c>
      <c r="H42" s="6">
        <v>94.0</v>
      </c>
      <c r="I42" s="9">
        <v>5170.0</v>
      </c>
      <c r="J42" s="8">
        <f t="shared" si="1"/>
        <v>4.0390625</v>
      </c>
    </row>
    <row r="43">
      <c r="A43" s="6" t="s">
        <v>119</v>
      </c>
      <c r="B43" s="14">
        <v>46065.0</v>
      </c>
      <c r="C43" s="6" t="s">
        <v>12</v>
      </c>
      <c r="D43" s="6" t="s">
        <v>120</v>
      </c>
      <c r="E43" s="6">
        <v>83000.0</v>
      </c>
      <c r="F43" s="6">
        <v>3000.0</v>
      </c>
      <c r="G43" s="15">
        <v>2050.0</v>
      </c>
      <c r="H43" s="6">
        <v>108.0</v>
      </c>
      <c r="I43" s="9">
        <v>6264.0</v>
      </c>
      <c r="J43" s="8">
        <f t="shared" si="1"/>
        <v>3.055609756</v>
      </c>
    </row>
    <row r="44">
      <c r="A44" s="6" t="s">
        <v>121</v>
      </c>
      <c r="B44" s="14">
        <v>46066.0</v>
      </c>
      <c r="C44" s="6" t="s">
        <v>14</v>
      </c>
      <c r="D44" s="6" t="s">
        <v>122</v>
      </c>
      <c r="E44" s="6">
        <v>21500.0</v>
      </c>
      <c r="F44" s="6">
        <v>730.0</v>
      </c>
      <c r="G44" s="15">
        <v>1680.0</v>
      </c>
      <c r="H44" s="6">
        <v>53.0</v>
      </c>
      <c r="I44" s="9">
        <v>7420.0</v>
      </c>
      <c r="J44" s="8">
        <f t="shared" si="1"/>
        <v>4.416666667</v>
      </c>
    </row>
    <row r="45">
      <c r="A45" s="6" t="s">
        <v>123</v>
      </c>
      <c r="B45" s="14">
        <v>46067.0</v>
      </c>
      <c r="C45" s="6" t="s">
        <v>16</v>
      </c>
      <c r="D45" s="6" t="s">
        <v>124</v>
      </c>
      <c r="E45" s="6">
        <v>115000.0</v>
      </c>
      <c r="F45" s="6">
        <v>4100.0</v>
      </c>
      <c r="G45" s="15">
        <v>2900.0</v>
      </c>
      <c r="H45" s="6">
        <v>135.0</v>
      </c>
      <c r="I45" s="9">
        <v>9180.0</v>
      </c>
      <c r="J45" s="8">
        <f t="shared" si="1"/>
        <v>3.165517241</v>
      </c>
    </row>
    <row r="46">
      <c r="A46" s="6" t="s">
        <v>125</v>
      </c>
      <c r="B46" s="14">
        <v>46068.0</v>
      </c>
      <c r="C46" s="6" t="s">
        <v>18</v>
      </c>
      <c r="D46" s="6" t="s">
        <v>126</v>
      </c>
      <c r="E46" s="6">
        <v>27500.0</v>
      </c>
      <c r="F46" s="6">
        <v>2400.0</v>
      </c>
      <c r="G46" s="15">
        <v>390.0</v>
      </c>
      <c r="H46" s="6">
        <v>200.0</v>
      </c>
      <c r="I46" s="9">
        <v>5000.0</v>
      </c>
      <c r="J46" s="8">
        <f t="shared" si="1"/>
        <v>12.82051282</v>
      </c>
    </row>
    <row r="47">
      <c r="A47" s="6" t="s">
        <v>127</v>
      </c>
      <c r="B47" s="14">
        <v>46069.0</v>
      </c>
      <c r="C47" s="6" t="s">
        <v>9</v>
      </c>
      <c r="D47" s="6" t="s">
        <v>128</v>
      </c>
      <c r="E47" s="6">
        <v>44000.0</v>
      </c>
      <c r="F47" s="6">
        <v>1750.0</v>
      </c>
      <c r="G47" s="15">
        <v>1220.0</v>
      </c>
      <c r="H47" s="6">
        <v>89.0</v>
      </c>
      <c r="I47" s="9">
        <v>5122.0</v>
      </c>
      <c r="J47" s="8">
        <f t="shared" si="1"/>
        <v>4.198360656</v>
      </c>
    </row>
    <row r="48">
      <c r="A48" s="6" t="s">
        <v>129</v>
      </c>
      <c r="B48" s="14">
        <v>46070.0</v>
      </c>
      <c r="C48" s="6" t="s">
        <v>12</v>
      </c>
      <c r="D48" s="6" t="s">
        <v>130</v>
      </c>
      <c r="E48" s="6">
        <v>80000.0</v>
      </c>
      <c r="F48" s="6">
        <v>2800.0</v>
      </c>
      <c r="G48" s="15">
        <v>1900.0</v>
      </c>
      <c r="H48" s="6">
        <v>99.0</v>
      </c>
      <c r="I48" s="9">
        <v>5700.0</v>
      </c>
      <c r="J48" s="8">
        <f t="shared" si="1"/>
        <v>3</v>
      </c>
    </row>
    <row r="49">
      <c r="A49" s="6" t="s">
        <v>131</v>
      </c>
      <c r="B49" s="14">
        <v>46071.0</v>
      </c>
      <c r="C49" s="6" t="s">
        <v>14</v>
      </c>
      <c r="D49" s="6" t="s">
        <v>132</v>
      </c>
      <c r="E49" s="6">
        <v>20000.0</v>
      </c>
      <c r="F49" s="6">
        <v>670.0</v>
      </c>
      <c r="G49" s="15">
        <v>1550.0</v>
      </c>
      <c r="H49" s="6">
        <v>48.0</v>
      </c>
      <c r="I49" s="9">
        <v>6820.0</v>
      </c>
      <c r="J49" s="8">
        <f t="shared" si="1"/>
        <v>4.4</v>
      </c>
    </row>
    <row r="50">
      <c r="A50" s="6" t="s">
        <v>133</v>
      </c>
      <c r="B50" s="14">
        <v>46072.0</v>
      </c>
      <c r="C50" s="6" t="s">
        <v>16</v>
      </c>
      <c r="D50" s="6" t="s">
        <v>134</v>
      </c>
      <c r="E50" s="6">
        <v>96000.0</v>
      </c>
      <c r="F50" s="6">
        <v>3450.0</v>
      </c>
      <c r="G50" s="15">
        <v>2550.0</v>
      </c>
      <c r="H50" s="6">
        <v>118.0</v>
      </c>
      <c r="I50" s="9">
        <v>7990.0</v>
      </c>
      <c r="J50" s="8">
        <f t="shared" si="1"/>
        <v>3.133333333</v>
      </c>
    </row>
    <row r="51">
      <c r="A51" s="6" t="s">
        <v>135</v>
      </c>
      <c r="B51" s="14">
        <v>46073.0</v>
      </c>
      <c r="C51" s="6" t="s">
        <v>18</v>
      </c>
      <c r="D51" s="6" t="s">
        <v>136</v>
      </c>
      <c r="E51" s="6">
        <v>25500.0</v>
      </c>
      <c r="F51" s="6">
        <v>2150.0</v>
      </c>
      <c r="G51" s="15">
        <v>340.0</v>
      </c>
      <c r="H51" s="6">
        <v>180.0</v>
      </c>
      <c r="I51" s="9">
        <v>3960.0</v>
      </c>
      <c r="J51" s="8">
        <f t="shared" si="1"/>
        <v>11.64705882</v>
      </c>
    </row>
    <row r="52">
      <c r="A52" s="6" t="s">
        <v>137</v>
      </c>
      <c r="B52" s="14">
        <v>46082.0</v>
      </c>
      <c r="C52" s="6" t="s">
        <v>9</v>
      </c>
      <c r="D52" s="6" t="s">
        <v>138</v>
      </c>
      <c r="E52" s="6">
        <v>55000.0</v>
      </c>
      <c r="F52" s="6">
        <v>2250.0</v>
      </c>
      <c r="G52" s="15">
        <v>1500.0</v>
      </c>
      <c r="H52" s="6">
        <v>118.0</v>
      </c>
      <c r="I52" s="9">
        <v>6600.0</v>
      </c>
      <c r="J52" s="8">
        <f t="shared" si="1"/>
        <v>4.4</v>
      </c>
    </row>
    <row r="53">
      <c r="A53" s="6" t="s">
        <v>139</v>
      </c>
      <c r="B53" s="14">
        <v>46083.0</v>
      </c>
      <c r="C53" s="6" t="s">
        <v>12</v>
      </c>
      <c r="D53" s="6" t="s">
        <v>140</v>
      </c>
      <c r="E53" s="6">
        <v>87000.0</v>
      </c>
      <c r="F53" s="6">
        <v>3150.0</v>
      </c>
      <c r="G53" s="15">
        <v>2150.0</v>
      </c>
      <c r="H53" s="6">
        <v>115.0</v>
      </c>
      <c r="I53" s="9">
        <v>6900.0</v>
      </c>
      <c r="J53" s="8">
        <f t="shared" si="1"/>
        <v>3.209302326</v>
      </c>
    </row>
    <row r="54">
      <c r="A54" s="6" t="s">
        <v>141</v>
      </c>
      <c r="B54" s="14">
        <v>46084.0</v>
      </c>
      <c r="C54" s="6" t="s">
        <v>14</v>
      </c>
      <c r="D54" s="6" t="s">
        <v>142</v>
      </c>
      <c r="E54" s="6">
        <v>24000.0</v>
      </c>
      <c r="F54" s="6">
        <v>850.0</v>
      </c>
      <c r="G54" s="15">
        <v>1850.0</v>
      </c>
      <c r="H54" s="6">
        <v>62.0</v>
      </c>
      <c r="I54" s="9">
        <v>9300.0</v>
      </c>
      <c r="J54" s="8">
        <f t="shared" si="1"/>
        <v>5.027027027</v>
      </c>
    </row>
    <row r="55">
      <c r="A55" s="6" t="s">
        <v>143</v>
      </c>
      <c r="B55" s="14">
        <v>46085.0</v>
      </c>
      <c r="C55" s="6" t="s">
        <v>16</v>
      </c>
      <c r="D55" s="6" t="s">
        <v>144</v>
      </c>
      <c r="E55" s="6">
        <v>120000.0</v>
      </c>
      <c r="F55" s="6">
        <v>4300.0</v>
      </c>
      <c r="G55" s="15">
        <v>3100.0</v>
      </c>
      <c r="H55" s="6">
        <v>145.0</v>
      </c>
      <c r="I55" s="9">
        <v>9860.0</v>
      </c>
      <c r="J55" s="8">
        <f t="shared" si="1"/>
        <v>3.180645161</v>
      </c>
    </row>
    <row r="56">
      <c r="A56" s="6" t="s">
        <v>145</v>
      </c>
      <c r="B56" s="14">
        <v>46086.0</v>
      </c>
      <c r="C56" s="6" t="s">
        <v>18</v>
      </c>
      <c r="D56" s="6" t="s">
        <v>146</v>
      </c>
      <c r="E56" s="6">
        <v>28500.0</v>
      </c>
      <c r="F56" s="6">
        <v>2500.0</v>
      </c>
      <c r="G56" s="15">
        <v>410.0</v>
      </c>
      <c r="H56" s="6">
        <v>210.0</v>
      </c>
      <c r="I56" s="9">
        <v>5460.0</v>
      </c>
      <c r="J56" s="8">
        <f t="shared" si="1"/>
        <v>13.31707317</v>
      </c>
    </row>
    <row r="57">
      <c r="A57" s="6" t="s">
        <v>147</v>
      </c>
      <c r="B57" s="14">
        <v>46087.0</v>
      </c>
      <c r="C57" s="6" t="s">
        <v>9</v>
      </c>
      <c r="D57" s="6" t="s">
        <v>148</v>
      </c>
      <c r="E57" s="6">
        <v>43000.0</v>
      </c>
      <c r="F57" s="6">
        <v>1700.0</v>
      </c>
      <c r="G57" s="15">
        <v>1210.0</v>
      </c>
      <c r="H57" s="6">
        <v>87.0</v>
      </c>
      <c r="I57" s="9">
        <v>5048.0</v>
      </c>
      <c r="J57" s="8">
        <f t="shared" si="1"/>
        <v>4.171900826</v>
      </c>
    </row>
    <row r="58">
      <c r="A58" s="6" t="s">
        <v>149</v>
      </c>
      <c r="B58" s="14">
        <v>46088.0</v>
      </c>
      <c r="C58" s="6" t="s">
        <v>12</v>
      </c>
      <c r="D58" s="6" t="s">
        <v>150</v>
      </c>
      <c r="E58" s="6">
        <v>82000.0</v>
      </c>
      <c r="F58" s="6">
        <v>2900.0</v>
      </c>
      <c r="G58" s="15">
        <v>1980.0</v>
      </c>
      <c r="H58" s="6">
        <v>102.0</v>
      </c>
      <c r="I58" s="9">
        <v>6120.0</v>
      </c>
      <c r="J58" s="8">
        <f t="shared" si="1"/>
        <v>3.090909091</v>
      </c>
    </row>
    <row r="59">
      <c r="A59" s="6" t="s">
        <v>151</v>
      </c>
      <c r="B59" s="14">
        <v>46089.0</v>
      </c>
      <c r="C59" s="6" t="s">
        <v>14</v>
      </c>
      <c r="D59" s="6" t="s">
        <v>152</v>
      </c>
      <c r="E59" s="6">
        <v>21000.0</v>
      </c>
      <c r="F59" s="6">
        <v>720.0</v>
      </c>
      <c r="G59" s="15">
        <v>1620.0</v>
      </c>
      <c r="H59" s="6">
        <v>50.0</v>
      </c>
      <c r="I59" s="9">
        <v>7290.0</v>
      </c>
      <c r="J59" s="8">
        <f t="shared" si="1"/>
        <v>4.5</v>
      </c>
    </row>
    <row r="60">
      <c r="A60" s="6" t="s">
        <v>153</v>
      </c>
      <c r="B60" s="14">
        <v>46090.0</v>
      </c>
      <c r="C60" s="6" t="s">
        <v>16</v>
      </c>
      <c r="D60" s="6" t="s">
        <v>154</v>
      </c>
      <c r="E60" s="6">
        <v>98000.0</v>
      </c>
      <c r="F60" s="6">
        <v>3500.0</v>
      </c>
      <c r="G60" s="15">
        <v>2580.0</v>
      </c>
      <c r="H60" s="6">
        <v>120.0</v>
      </c>
      <c r="I60" s="9">
        <v>8160.0</v>
      </c>
      <c r="J60" s="8">
        <f t="shared" si="1"/>
        <v>3.162790698</v>
      </c>
    </row>
    <row r="61">
      <c r="A61" s="6" t="s">
        <v>155</v>
      </c>
      <c r="B61" s="14">
        <v>46091.0</v>
      </c>
      <c r="C61" s="6" t="s">
        <v>18</v>
      </c>
      <c r="D61" s="6" t="s">
        <v>156</v>
      </c>
      <c r="E61" s="6">
        <v>32000.0</v>
      </c>
      <c r="F61" s="6">
        <v>3100.0</v>
      </c>
      <c r="G61" s="15">
        <v>500.0</v>
      </c>
      <c r="H61" s="6">
        <v>270.0</v>
      </c>
      <c r="I61" s="9">
        <v>7560.0</v>
      </c>
      <c r="J61" s="8">
        <f t="shared" si="1"/>
        <v>15.12</v>
      </c>
    </row>
    <row r="62">
      <c r="A62" s="6" t="s">
        <v>157</v>
      </c>
      <c r="B62" s="14">
        <v>46092.0</v>
      </c>
      <c r="C62" s="6" t="s">
        <v>9</v>
      </c>
      <c r="D62" s="6" t="s">
        <v>158</v>
      </c>
      <c r="E62" s="6">
        <v>48000.0</v>
      </c>
      <c r="F62" s="6">
        <v>1950.0</v>
      </c>
      <c r="G62" s="15">
        <v>1320.0</v>
      </c>
      <c r="H62" s="6">
        <v>101.0</v>
      </c>
      <c r="I62" s="9">
        <v>5757.0</v>
      </c>
      <c r="J62" s="8">
        <f t="shared" si="1"/>
        <v>4.361363636</v>
      </c>
    </row>
    <row r="63">
      <c r="A63" s="6" t="s">
        <v>159</v>
      </c>
      <c r="B63" s="14">
        <v>46093.0</v>
      </c>
      <c r="C63" s="6" t="s">
        <v>12</v>
      </c>
      <c r="D63" s="6" t="s">
        <v>160</v>
      </c>
      <c r="E63" s="6">
        <v>86000.0</v>
      </c>
      <c r="F63" s="6">
        <v>3050.0</v>
      </c>
      <c r="G63" s="15">
        <v>2080.0</v>
      </c>
      <c r="H63" s="6">
        <v>112.0</v>
      </c>
      <c r="I63" s="9">
        <v>6720.0</v>
      </c>
      <c r="J63" s="8">
        <f t="shared" si="1"/>
        <v>3.230769231</v>
      </c>
    </row>
    <row r="64">
      <c r="A64" s="6" t="s">
        <v>161</v>
      </c>
      <c r="B64" s="14">
        <v>46094.0</v>
      </c>
      <c r="C64" s="6" t="s">
        <v>14</v>
      </c>
      <c r="D64" s="6" t="s">
        <v>162</v>
      </c>
      <c r="E64" s="6">
        <v>22500.0</v>
      </c>
      <c r="F64" s="6">
        <v>770.0</v>
      </c>
      <c r="G64" s="15">
        <v>1750.0</v>
      </c>
      <c r="H64" s="6">
        <v>58.0</v>
      </c>
      <c r="I64" s="9">
        <v>8410.0</v>
      </c>
      <c r="J64" s="8">
        <f t="shared" si="1"/>
        <v>4.805714286</v>
      </c>
    </row>
    <row r="65">
      <c r="A65" s="6" t="s">
        <v>163</v>
      </c>
      <c r="B65" s="14">
        <v>46095.0</v>
      </c>
      <c r="C65" s="6" t="s">
        <v>16</v>
      </c>
      <c r="D65" s="6" t="s">
        <v>164</v>
      </c>
      <c r="E65" s="6">
        <v>108000.0</v>
      </c>
      <c r="F65" s="6">
        <v>3900.0</v>
      </c>
      <c r="G65" s="15">
        <v>2750.0</v>
      </c>
      <c r="H65" s="6">
        <v>132.0</v>
      </c>
      <c r="I65" s="9">
        <v>8844.0</v>
      </c>
      <c r="J65" s="8">
        <f t="shared" si="1"/>
        <v>3.216</v>
      </c>
    </row>
    <row r="66">
      <c r="A66" s="6" t="s">
        <v>165</v>
      </c>
      <c r="B66" s="14">
        <v>46096.0</v>
      </c>
      <c r="C66" s="6" t="s">
        <v>18</v>
      </c>
      <c r="D66" s="6" t="s">
        <v>166</v>
      </c>
      <c r="E66" s="6">
        <v>27000.0</v>
      </c>
      <c r="F66" s="6">
        <v>2300.0</v>
      </c>
      <c r="G66" s="15">
        <v>375.0</v>
      </c>
      <c r="H66" s="6">
        <v>192.0</v>
      </c>
      <c r="I66" s="9">
        <v>4800.0</v>
      </c>
      <c r="J66" s="8">
        <f t="shared" si="1"/>
        <v>12.8</v>
      </c>
    </row>
    <row r="67">
      <c r="A67" s="6" t="s">
        <v>167</v>
      </c>
      <c r="B67" s="14">
        <v>46097.0</v>
      </c>
      <c r="C67" s="6" t="s">
        <v>9</v>
      </c>
      <c r="D67" s="6" t="s">
        <v>168</v>
      </c>
      <c r="E67" s="6">
        <v>45000.0</v>
      </c>
      <c r="F67" s="6">
        <v>1800.0</v>
      </c>
      <c r="G67" s="15">
        <v>1260.0</v>
      </c>
      <c r="H67" s="6">
        <v>92.0</v>
      </c>
      <c r="I67" s="9">
        <v>5336.0</v>
      </c>
      <c r="J67" s="8">
        <f t="shared" si="1"/>
        <v>4.234920635</v>
      </c>
    </row>
    <row r="68">
      <c r="A68" s="6" t="s">
        <v>169</v>
      </c>
      <c r="B68" s="14">
        <v>46098.0</v>
      </c>
      <c r="C68" s="6" t="s">
        <v>12</v>
      </c>
      <c r="D68" s="6" t="s">
        <v>170</v>
      </c>
      <c r="E68" s="6">
        <v>84000.0</v>
      </c>
      <c r="F68" s="6">
        <v>2950.0</v>
      </c>
      <c r="G68" s="15">
        <v>2020.0</v>
      </c>
      <c r="H68" s="6">
        <v>106.0</v>
      </c>
      <c r="I68" s="9">
        <v>6360.0</v>
      </c>
      <c r="J68" s="8">
        <f t="shared" si="1"/>
        <v>3.148514851</v>
      </c>
    </row>
    <row r="69">
      <c r="A69" s="6" t="s">
        <v>171</v>
      </c>
      <c r="B69" s="14">
        <v>46099.0</v>
      </c>
      <c r="C69" s="6" t="s">
        <v>14</v>
      </c>
      <c r="D69" s="6" t="s">
        <v>172</v>
      </c>
      <c r="E69" s="6">
        <v>20500.0</v>
      </c>
      <c r="F69" s="6">
        <v>690.0</v>
      </c>
      <c r="G69" s="15">
        <v>1580.0</v>
      </c>
      <c r="H69" s="6">
        <v>49.0</v>
      </c>
      <c r="I69" s="9">
        <v>7105.0</v>
      </c>
      <c r="J69" s="8">
        <f t="shared" si="1"/>
        <v>4.496835443</v>
      </c>
    </row>
    <row r="70">
      <c r="A70" s="6" t="s">
        <v>173</v>
      </c>
      <c r="B70" s="14">
        <v>46100.0</v>
      </c>
      <c r="C70" s="6" t="s">
        <v>16</v>
      </c>
      <c r="D70" s="6" t="s">
        <v>174</v>
      </c>
      <c r="E70" s="6">
        <v>97000.0</v>
      </c>
      <c r="F70" s="6">
        <v>3480.0</v>
      </c>
      <c r="G70" s="15">
        <v>2560.0</v>
      </c>
      <c r="H70" s="6">
        <v>119.0</v>
      </c>
      <c r="I70" s="9">
        <v>8100.0</v>
      </c>
      <c r="J70" s="8">
        <f t="shared" si="1"/>
        <v>3.1640625</v>
      </c>
    </row>
    <row r="71">
      <c r="A71" s="6" t="s">
        <v>175</v>
      </c>
      <c r="B71" s="14">
        <v>46101.0</v>
      </c>
      <c r="C71" s="6" t="s">
        <v>18</v>
      </c>
      <c r="D71" s="6" t="s">
        <v>176</v>
      </c>
      <c r="E71" s="6">
        <v>30500.0</v>
      </c>
      <c r="F71" s="6">
        <v>2850.0</v>
      </c>
      <c r="G71" s="15">
        <v>460.0</v>
      </c>
      <c r="H71" s="6">
        <v>245.0</v>
      </c>
      <c r="I71" s="9">
        <v>6860.0</v>
      </c>
      <c r="J71" s="8">
        <f t="shared" si="1"/>
        <v>14.91304348</v>
      </c>
    </row>
    <row r="72">
      <c r="A72" s="6" t="s">
        <v>177</v>
      </c>
      <c r="B72" s="14">
        <v>46102.0</v>
      </c>
      <c r="C72" s="6" t="s">
        <v>9</v>
      </c>
      <c r="D72" s="6" t="s">
        <v>178</v>
      </c>
      <c r="E72" s="6">
        <v>49000.0</v>
      </c>
      <c r="F72" s="6">
        <v>2000.0</v>
      </c>
      <c r="G72" s="15">
        <v>1360.0</v>
      </c>
      <c r="H72" s="6">
        <v>105.0</v>
      </c>
      <c r="I72" s="9">
        <v>6090.0</v>
      </c>
      <c r="J72" s="8">
        <f t="shared" si="1"/>
        <v>4.477941176</v>
      </c>
    </row>
    <row r="73">
      <c r="A73" s="6" t="s">
        <v>182</v>
      </c>
      <c r="B73" s="14">
        <v>46103.0</v>
      </c>
      <c r="C73" s="6" t="s">
        <v>12</v>
      </c>
      <c r="D73" s="6" t="s">
        <v>183</v>
      </c>
      <c r="E73" s="6">
        <v>89000.0</v>
      </c>
      <c r="F73" s="6">
        <v>3200.0</v>
      </c>
      <c r="G73" s="15">
        <v>2180.0</v>
      </c>
      <c r="H73" s="6">
        <v>116.0</v>
      </c>
      <c r="I73" s="9">
        <v>7250.0</v>
      </c>
      <c r="J73" s="8">
        <f t="shared" si="1"/>
        <v>3.325688073</v>
      </c>
    </row>
    <row r="74">
      <c r="A74" s="6" t="s">
        <v>184</v>
      </c>
      <c r="B74" s="14">
        <v>46104.0</v>
      </c>
      <c r="C74" s="6" t="s">
        <v>14</v>
      </c>
      <c r="D74" s="6" t="s">
        <v>185</v>
      </c>
      <c r="E74" s="6">
        <v>23500.0</v>
      </c>
      <c r="F74" s="6">
        <v>810.0</v>
      </c>
      <c r="G74" s="15">
        <v>1800.0</v>
      </c>
      <c r="H74" s="6">
        <v>61.0</v>
      </c>
      <c r="I74" s="9">
        <v>8845.0</v>
      </c>
      <c r="J74" s="8">
        <f t="shared" si="1"/>
        <v>4.913888889</v>
      </c>
    </row>
    <row r="75">
      <c r="A75" s="6" t="s">
        <v>186</v>
      </c>
      <c r="B75" s="14">
        <v>46105.0</v>
      </c>
      <c r="C75" s="6" t="s">
        <v>16</v>
      </c>
      <c r="D75" s="6" t="s">
        <v>187</v>
      </c>
      <c r="E75" s="6">
        <v>125000.0</v>
      </c>
      <c r="F75" s="6">
        <v>4500.0</v>
      </c>
      <c r="G75" s="15">
        <v>3200.0</v>
      </c>
      <c r="H75" s="6">
        <v>150.0</v>
      </c>
      <c r="I75" s="9">
        <v>10200.0</v>
      </c>
      <c r="J75" s="8">
        <f t="shared" si="1"/>
        <v>3.1875</v>
      </c>
    </row>
    <row r="76">
      <c r="A76" s="6" t="s">
        <v>188</v>
      </c>
      <c r="B76" s="14">
        <v>46106.0</v>
      </c>
      <c r="C76" s="6" t="s">
        <v>18</v>
      </c>
      <c r="D76" s="6" t="s">
        <v>189</v>
      </c>
      <c r="E76" s="6">
        <v>26000.0</v>
      </c>
      <c r="F76" s="6">
        <v>2200.0</v>
      </c>
      <c r="G76" s="15">
        <v>350.0</v>
      </c>
      <c r="H76" s="6">
        <v>185.0</v>
      </c>
      <c r="I76" s="9">
        <v>4255.0</v>
      </c>
      <c r="J76" s="8">
        <f t="shared" si="1"/>
        <v>12.15714286</v>
      </c>
    </row>
    <row r="77">
      <c r="A77" s="6" t="s">
        <v>190</v>
      </c>
      <c r="B77" s="14">
        <v>46107.0</v>
      </c>
      <c r="C77" s="6" t="s">
        <v>9</v>
      </c>
      <c r="D77" s="6" t="s">
        <v>191</v>
      </c>
      <c r="E77" s="6">
        <v>42000.0</v>
      </c>
      <c r="F77" s="6">
        <v>1680.0</v>
      </c>
      <c r="G77" s="15">
        <v>1170.0</v>
      </c>
      <c r="H77" s="6">
        <v>86.0</v>
      </c>
      <c r="I77" s="9">
        <v>5010.0</v>
      </c>
      <c r="J77" s="8">
        <f t="shared" si="1"/>
        <v>4.282051282</v>
      </c>
    </row>
    <row r="78">
      <c r="A78" s="6" t="s">
        <v>192</v>
      </c>
      <c r="B78" s="14">
        <v>46108.0</v>
      </c>
      <c r="C78" s="6" t="s">
        <v>12</v>
      </c>
      <c r="D78" s="6" t="s">
        <v>193</v>
      </c>
      <c r="E78" s="6">
        <v>81000.0</v>
      </c>
      <c r="F78" s="6">
        <v>2880.0</v>
      </c>
      <c r="G78" s="15">
        <v>1960.0</v>
      </c>
      <c r="H78" s="6">
        <v>103.0</v>
      </c>
      <c r="I78" s="9">
        <v>6180.0</v>
      </c>
      <c r="J78" s="8">
        <f t="shared" si="1"/>
        <v>3.153061224</v>
      </c>
    </row>
    <row r="79">
      <c r="A79" s="6" t="s">
        <v>194</v>
      </c>
      <c r="B79" s="14">
        <v>46109.0</v>
      </c>
      <c r="C79" s="6" t="s">
        <v>14</v>
      </c>
      <c r="D79" s="6" t="s">
        <v>195</v>
      </c>
      <c r="E79" s="6">
        <v>21500.0</v>
      </c>
      <c r="F79" s="6">
        <v>740.0</v>
      </c>
      <c r="G79" s="15">
        <v>1690.0</v>
      </c>
      <c r="H79" s="6">
        <v>54.0</v>
      </c>
      <c r="I79" s="9">
        <v>7830.0</v>
      </c>
      <c r="J79" s="8">
        <f t="shared" si="1"/>
        <v>4.633136095</v>
      </c>
    </row>
    <row r="80">
      <c r="A80" s="6" t="s">
        <v>196</v>
      </c>
      <c r="B80" s="14">
        <v>46110.0</v>
      </c>
      <c r="C80" s="6" t="s">
        <v>16</v>
      </c>
      <c r="D80" s="6" t="s">
        <v>197</v>
      </c>
      <c r="E80" s="6">
        <v>102000.0</v>
      </c>
      <c r="F80" s="6">
        <v>3700.0</v>
      </c>
      <c r="G80" s="15">
        <v>2650.0</v>
      </c>
      <c r="H80" s="6">
        <v>126.0</v>
      </c>
      <c r="I80" s="9">
        <v>8505.0</v>
      </c>
      <c r="J80" s="8">
        <f t="shared" si="1"/>
        <v>3.209433962</v>
      </c>
    </row>
    <row r="81">
      <c r="A81" s="6" t="s">
        <v>199</v>
      </c>
      <c r="B81" s="14">
        <v>46111.0</v>
      </c>
      <c r="C81" s="6" t="s">
        <v>18</v>
      </c>
      <c r="D81" s="6" t="s">
        <v>200</v>
      </c>
      <c r="E81" s="6">
        <v>33000.0</v>
      </c>
      <c r="F81" s="6">
        <v>3200.0</v>
      </c>
      <c r="G81" s="15">
        <v>520.0</v>
      </c>
      <c r="H81" s="6">
        <v>280.0</v>
      </c>
      <c r="I81" s="9">
        <v>8120.0</v>
      </c>
      <c r="J81" s="8">
        <f t="shared" si="1"/>
        <v>15.61538462</v>
      </c>
    </row>
    <row r="82">
      <c r="A82" s="6" t="s">
        <v>201</v>
      </c>
      <c r="B82" s="14">
        <v>46113.0</v>
      </c>
      <c r="C82" s="6" t="s">
        <v>9</v>
      </c>
      <c r="D82" s="6" t="s">
        <v>202</v>
      </c>
      <c r="E82" s="6">
        <v>57000.0</v>
      </c>
      <c r="F82" s="6">
        <v>2350.0</v>
      </c>
      <c r="G82" s="15">
        <v>1550.0</v>
      </c>
      <c r="H82" s="6">
        <v>122.0</v>
      </c>
      <c r="I82" s="9">
        <v>7015.0</v>
      </c>
      <c r="J82" s="8">
        <f t="shared" si="1"/>
        <v>4.525806452</v>
      </c>
    </row>
    <row r="83">
      <c r="A83" s="6" t="s">
        <v>203</v>
      </c>
      <c r="B83" s="14">
        <v>46114.0</v>
      </c>
      <c r="C83" s="6" t="s">
        <v>12</v>
      </c>
      <c r="D83" s="6" t="s">
        <v>204</v>
      </c>
      <c r="E83" s="6">
        <v>90000.0</v>
      </c>
      <c r="F83" s="6">
        <v>3250.0</v>
      </c>
      <c r="G83" s="15">
        <v>2220.0</v>
      </c>
      <c r="H83" s="6">
        <v>119.0</v>
      </c>
      <c r="I83" s="9">
        <v>7379.0</v>
      </c>
      <c r="J83" s="8">
        <f t="shared" si="1"/>
        <v>3.323873874</v>
      </c>
    </row>
    <row r="84">
      <c r="A84" s="6" t="s">
        <v>205</v>
      </c>
      <c r="B84" s="14">
        <v>46115.0</v>
      </c>
      <c r="C84" s="6" t="s">
        <v>14</v>
      </c>
      <c r="D84" s="6" t="s">
        <v>206</v>
      </c>
      <c r="E84" s="6">
        <v>25000.0</v>
      </c>
      <c r="F84" s="6">
        <v>880.0</v>
      </c>
      <c r="G84" s="15">
        <v>1920.0</v>
      </c>
      <c r="H84" s="6">
        <v>65.0</v>
      </c>
      <c r="I84" s="9">
        <v>9750.0</v>
      </c>
      <c r="J84" s="8">
        <f t="shared" si="1"/>
        <v>5.078125</v>
      </c>
    </row>
    <row r="85">
      <c r="A85" s="6" t="s">
        <v>207</v>
      </c>
      <c r="B85" s="14">
        <v>46116.0</v>
      </c>
      <c r="C85" s="6" t="s">
        <v>16</v>
      </c>
      <c r="D85" s="6" t="s">
        <v>208</v>
      </c>
      <c r="E85" s="6">
        <v>122000.0</v>
      </c>
      <c r="F85" s="6">
        <v>4400.0</v>
      </c>
      <c r="G85" s="15">
        <v>3150.0</v>
      </c>
      <c r="H85" s="6">
        <v>148.0</v>
      </c>
      <c r="I85" s="9">
        <v>10064.0</v>
      </c>
      <c r="J85" s="8">
        <f t="shared" si="1"/>
        <v>3.194920635</v>
      </c>
    </row>
    <row r="86">
      <c r="A86" s="6" t="s">
        <v>209</v>
      </c>
      <c r="B86" s="14">
        <v>46117.0</v>
      </c>
      <c r="C86" s="6" t="s">
        <v>18</v>
      </c>
      <c r="D86" s="6" t="s">
        <v>210</v>
      </c>
      <c r="E86" s="6">
        <v>29000.0</v>
      </c>
      <c r="F86" s="6">
        <v>2550.0</v>
      </c>
      <c r="G86" s="15">
        <v>415.0</v>
      </c>
      <c r="H86" s="6">
        <v>215.0</v>
      </c>
      <c r="I86" s="9">
        <v>5590.0</v>
      </c>
      <c r="J86" s="8">
        <f t="shared" si="1"/>
        <v>13.46987952</v>
      </c>
    </row>
    <row r="87">
      <c r="A87" s="6" t="s">
        <v>211</v>
      </c>
      <c r="B87" s="14">
        <v>46118.0</v>
      </c>
      <c r="C87" s="6" t="s">
        <v>9</v>
      </c>
      <c r="D87" s="6" t="s">
        <v>212</v>
      </c>
      <c r="E87" s="6">
        <v>44000.0</v>
      </c>
      <c r="F87" s="6">
        <v>1720.0</v>
      </c>
      <c r="G87" s="15">
        <v>1200.0</v>
      </c>
      <c r="H87" s="6">
        <v>88.0</v>
      </c>
      <c r="I87" s="9">
        <v>5192.0</v>
      </c>
      <c r="J87" s="8">
        <f t="shared" si="1"/>
        <v>4.326666667</v>
      </c>
    </row>
    <row r="88">
      <c r="A88" s="6" t="s">
        <v>213</v>
      </c>
      <c r="B88" s="14">
        <v>46119.0</v>
      </c>
      <c r="C88" s="6" t="s">
        <v>12</v>
      </c>
      <c r="D88" s="6" t="s">
        <v>214</v>
      </c>
      <c r="E88" s="6">
        <v>83000.0</v>
      </c>
      <c r="F88" s="6">
        <v>2950.0</v>
      </c>
      <c r="G88" s="15">
        <v>2000.0</v>
      </c>
      <c r="H88" s="6">
        <v>105.0</v>
      </c>
      <c r="I88" s="9">
        <v>6300.0</v>
      </c>
      <c r="J88" s="8">
        <f t="shared" si="1"/>
        <v>3.15</v>
      </c>
    </row>
    <row r="89">
      <c r="A89" s="6" t="s">
        <v>215</v>
      </c>
      <c r="B89" s="14">
        <v>46120.0</v>
      </c>
      <c r="C89" s="6" t="s">
        <v>14</v>
      </c>
      <c r="D89" s="6" t="s">
        <v>216</v>
      </c>
      <c r="E89" s="6">
        <v>22000.0</v>
      </c>
      <c r="F89" s="6">
        <v>750.0</v>
      </c>
      <c r="G89" s="15">
        <v>1700.0</v>
      </c>
      <c r="H89" s="6">
        <v>56.0</v>
      </c>
      <c r="I89" s="9">
        <v>8120.0</v>
      </c>
      <c r="J89" s="8">
        <f t="shared" si="1"/>
        <v>4.776470588</v>
      </c>
    </row>
    <row r="90">
      <c r="A90" s="6" t="s">
        <v>217</v>
      </c>
      <c r="B90" s="14">
        <v>46121.0</v>
      </c>
      <c r="C90" s="6" t="s">
        <v>16</v>
      </c>
      <c r="D90" s="6" t="s">
        <v>218</v>
      </c>
      <c r="E90" s="6">
        <v>100000.0</v>
      </c>
      <c r="F90" s="6">
        <v>3600.0</v>
      </c>
      <c r="G90" s="15">
        <v>2600.0</v>
      </c>
      <c r="H90" s="6">
        <v>124.0</v>
      </c>
      <c r="I90" s="9">
        <v>8432.0</v>
      </c>
      <c r="J90" s="8">
        <f t="shared" si="1"/>
        <v>3.243076923</v>
      </c>
    </row>
    <row r="91">
      <c r="A91" s="6" t="s">
        <v>219</v>
      </c>
      <c r="B91" s="14">
        <v>46122.0</v>
      </c>
      <c r="C91" s="6" t="s">
        <v>18</v>
      </c>
      <c r="D91" s="6" t="s">
        <v>220</v>
      </c>
      <c r="E91" s="6">
        <v>31000.0</v>
      </c>
      <c r="F91" s="6">
        <v>2900.0</v>
      </c>
      <c r="G91" s="15">
        <v>470.0</v>
      </c>
      <c r="H91" s="6">
        <v>250.0</v>
      </c>
      <c r="I91" s="9">
        <v>7250.0</v>
      </c>
      <c r="J91" s="8">
        <f t="shared" si="1"/>
        <v>15.42553191</v>
      </c>
    </row>
    <row r="92">
      <c r="A92" s="6" t="s">
        <v>221</v>
      </c>
      <c r="B92" s="14">
        <v>46123.0</v>
      </c>
      <c r="C92" s="6" t="s">
        <v>9</v>
      </c>
      <c r="D92" s="6" t="s">
        <v>222</v>
      </c>
      <c r="E92" s="6">
        <v>48000.0</v>
      </c>
      <c r="F92" s="6">
        <v>1950.0</v>
      </c>
      <c r="G92" s="15">
        <v>1330.0</v>
      </c>
      <c r="H92" s="6">
        <v>102.0</v>
      </c>
      <c r="I92" s="9">
        <v>5916.0</v>
      </c>
      <c r="J92" s="8">
        <f t="shared" si="1"/>
        <v>4.448120301</v>
      </c>
    </row>
    <row r="93">
      <c r="A93" s="6" t="s">
        <v>223</v>
      </c>
      <c r="B93" s="14">
        <v>46124.0</v>
      </c>
      <c r="C93" s="6" t="s">
        <v>12</v>
      </c>
      <c r="D93" s="6" t="s">
        <v>224</v>
      </c>
      <c r="E93" s="6">
        <v>88000.0</v>
      </c>
      <c r="F93" s="6">
        <v>3180.0</v>
      </c>
      <c r="G93" s="15">
        <v>2120.0</v>
      </c>
      <c r="H93" s="6">
        <v>114.0</v>
      </c>
      <c r="I93" s="9">
        <v>7100.0</v>
      </c>
      <c r="J93" s="8">
        <f t="shared" si="1"/>
        <v>3.349056604</v>
      </c>
    </row>
    <row r="94">
      <c r="A94" s="6" t="s">
        <v>225</v>
      </c>
      <c r="B94" s="14">
        <v>46125.0</v>
      </c>
      <c r="C94" s="6" t="s">
        <v>14</v>
      </c>
      <c r="D94" s="6" t="s">
        <v>226</v>
      </c>
      <c r="E94" s="6">
        <v>24000.0</v>
      </c>
      <c r="F94" s="6">
        <v>840.0</v>
      </c>
      <c r="G94" s="15">
        <v>1850.0</v>
      </c>
      <c r="H94" s="6">
        <v>63.0</v>
      </c>
      <c r="I94" s="9">
        <v>9450.0</v>
      </c>
      <c r="J94" s="8">
        <f t="shared" si="1"/>
        <v>5.108108108</v>
      </c>
    </row>
    <row r="95">
      <c r="A95" s="6" t="s">
        <v>227</v>
      </c>
      <c r="B95" s="14">
        <v>46126.0</v>
      </c>
      <c r="C95" s="6" t="s">
        <v>16</v>
      </c>
      <c r="D95" s="6" t="s">
        <v>228</v>
      </c>
      <c r="E95" s="6">
        <v>118000.0</v>
      </c>
      <c r="F95" s="6">
        <v>4250.0</v>
      </c>
      <c r="G95" s="15">
        <v>3050.0</v>
      </c>
      <c r="H95" s="6">
        <v>142.0</v>
      </c>
      <c r="I95" s="9">
        <v>9656.0</v>
      </c>
      <c r="J95" s="8">
        <f t="shared" si="1"/>
        <v>3.165901639</v>
      </c>
    </row>
    <row r="96">
      <c r="A96" s="6" t="s">
        <v>229</v>
      </c>
      <c r="B96" s="14">
        <v>46127.0</v>
      </c>
      <c r="C96" s="6" t="s">
        <v>18</v>
      </c>
      <c r="D96" s="6" t="s">
        <v>230</v>
      </c>
      <c r="E96" s="6">
        <v>28000.0</v>
      </c>
      <c r="F96" s="6">
        <v>2450.0</v>
      </c>
      <c r="G96" s="15">
        <v>395.0</v>
      </c>
      <c r="H96" s="6">
        <v>205.0</v>
      </c>
      <c r="I96" s="9">
        <v>5330.0</v>
      </c>
      <c r="J96" s="8">
        <f t="shared" si="1"/>
        <v>13.49367089</v>
      </c>
    </row>
    <row r="97">
      <c r="A97" s="6" t="s">
        <v>231</v>
      </c>
      <c r="B97" s="14">
        <v>46128.0</v>
      </c>
      <c r="C97" s="6" t="s">
        <v>9</v>
      </c>
      <c r="D97" s="6" t="s">
        <v>232</v>
      </c>
      <c r="E97" s="6">
        <v>43500.0</v>
      </c>
      <c r="F97" s="6">
        <v>1690.0</v>
      </c>
      <c r="G97" s="15">
        <v>1185.0</v>
      </c>
      <c r="H97" s="6">
        <v>86.0</v>
      </c>
      <c r="I97" s="9">
        <v>5095.0</v>
      </c>
      <c r="J97" s="8">
        <f t="shared" si="1"/>
        <v>4.299578059</v>
      </c>
    </row>
    <row r="98">
      <c r="A98" s="6" t="s">
        <v>233</v>
      </c>
      <c r="B98" s="14">
        <v>46129.0</v>
      </c>
      <c r="C98" s="6" t="s">
        <v>12</v>
      </c>
      <c r="D98" s="6" t="s">
        <v>234</v>
      </c>
      <c r="E98" s="6">
        <v>82000.0</v>
      </c>
      <c r="F98" s="6">
        <v>2920.0</v>
      </c>
      <c r="G98" s="15">
        <v>1990.0</v>
      </c>
      <c r="H98" s="6">
        <v>103.0</v>
      </c>
      <c r="I98" s="9">
        <v>6180.0</v>
      </c>
      <c r="J98" s="8">
        <f t="shared" si="1"/>
        <v>3.105527638</v>
      </c>
    </row>
    <row r="99">
      <c r="A99" s="6" t="s">
        <v>235</v>
      </c>
      <c r="B99" s="14">
        <v>46130.0</v>
      </c>
      <c r="C99" s="6" t="s">
        <v>14</v>
      </c>
      <c r="D99" s="6" t="s">
        <v>236</v>
      </c>
      <c r="E99" s="6">
        <v>21500.0</v>
      </c>
      <c r="F99" s="6">
        <v>730.0</v>
      </c>
      <c r="G99" s="15">
        <v>1660.0</v>
      </c>
      <c r="H99" s="6">
        <v>52.0</v>
      </c>
      <c r="I99" s="9">
        <v>7900.0</v>
      </c>
      <c r="J99" s="8">
        <f t="shared" si="1"/>
        <v>4.759036145</v>
      </c>
    </row>
    <row r="100">
      <c r="A100" s="6" t="s">
        <v>237</v>
      </c>
      <c r="B100" s="14">
        <v>46131.0</v>
      </c>
      <c r="C100" s="6" t="s">
        <v>16</v>
      </c>
      <c r="D100" s="6" t="s">
        <v>238</v>
      </c>
      <c r="E100" s="6">
        <v>99000.0</v>
      </c>
      <c r="F100" s="6">
        <v>3580.0</v>
      </c>
      <c r="G100" s="15">
        <v>2590.0</v>
      </c>
      <c r="H100" s="6">
        <v>123.0</v>
      </c>
      <c r="I100" s="9">
        <v>8364.0</v>
      </c>
      <c r="J100" s="8">
        <f t="shared" si="1"/>
        <v>3.229343629</v>
      </c>
    </row>
    <row r="101">
      <c r="A101" s="6" t="s">
        <v>239</v>
      </c>
      <c r="B101" s="14">
        <v>46132.0</v>
      </c>
      <c r="C101" s="6" t="s">
        <v>18</v>
      </c>
      <c r="D101" s="6" t="s">
        <v>240</v>
      </c>
      <c r="E101" s="6">
        <v>32500.0</v>
      </c>
      <c r="F101" s="6">
        <v>3150.0</v>
      </c>
      <c r="G101" s="15">
        <v>510.0</v>
      </c>
      <c r="H101" s="6">
        <v>275.0</v>
      </c>
      <c r="I101" s="9">
        <v>7975.0</v>
      </c>
      <c r="J101" s="8">
        <f t="shared" si="1"/>
        <v>15.6372549</v>
      </c>
    </row>
    <row r="102">
      <c r="G102" s="16"/>
      <c r="I102" s="11"/>
      <c r="J102" s="10"/>
    </row>
    <row r="103">
      <c r="G103" s="16"/>
      <c r="I103" s="11"/>
      <c r="J103" s="10"/>
    </row>
    <row r="104">
      <c r="G104" s="16"/>
      <c r="I104" s="11"/>
      <c r="J104" s="10"/>
    </row>
    <row r="105">
      <c r="G105" s="16"/>
      <c r="I105" s="11"/>
      <c r="J105" s="10"/>
    </row>
    <row r="106">
      <c r="G106" s="16"/>
      <c r="I106" s="11"/>
      <c r="J106" s="10"/>
    </row>
    <row r="107">
      <c r="G107" s="16"/>
      <c r="I107" s="11"/>
      <c r="J107" s="10"/>
    </row>
    <row r="108">
      <c r="G108" s="16"/>
      <c r="I108" s="11"/>
      <c r="J108" s="10"/>
    </row>
    <row r="109">
      <c r="G109" s="16"/>
      <c r="I109" s="11"/>
      <c r="J109" s="10"/>
    </row>
    <row r="110">
      <c r="G110" s="16"/>
      <c r="I110" s="11"/>
      <c r="J110" s="10"/>
    </row>
    <row r="111">
      <c r="G111" s="16"/>
      <c r="I111" s="11"/>
      <c r="J111" s="10"/>
    </row>
    <row r="112">
      <c r="G112" s="16"/>
      <c r="I112" s="11"/>
      <c r="J112" s="10"/>
    </row>
    <row r="113">
      <c r="G113" s="16"/>
      <c r="I113" s="11"/>
      <c r="J113" s="10"/>
    </row>
    <row r="114">
      <c r="G114" s="16"/>
      <c r="I114" s="11"/>
      <c r="J114" s="10"/>
    </row>
    <row r="115">
      <c r="G115" s="16"/>
      <c r="I115" s="11"/>
      <c r="J115" s="10"/>
    </row>
    <row r="116">
      <c r="G116" s="16"/>
      <c r="I116" s="11"/>
      <c r="J116" s="10"/>
    </row>
    <row r="117">
      <c r="G117" s="16"/>
      <c r="I117" s="11"/>
      <c r="J117" s="10"/>
    </row>
    <row r="118">
      <c r="G118" s="16"/>
      <c r="I118" s="11"/>
      <c r="J118" s="10"/>
    </row>
    <row r="119">
      <c r="G119" s="16"/>
      <c r="I119" s="11"/>
      <c r="J119" s="10"/>
    </row>
    <row r="120">
      <c r="G120" s="16"/>
      <c r="I120" s="11"/>
      <c r="J120" s="10"/>
    </row>
    <row r="121">
      <c r="G121" s="16"/>
      <c r="I121" s="11"/>
      <c r="J121" s="10"/>
    </row>
    <row r="122">
      <c r="G122" s="16"/>
      <c r="I122" s="11"/>
      <c r="J122" s="10"/>
    </row>
    <row r="123">
      <c r="G123" s="16"/>
      <c r="I123" s="11"/>
      <c r="J123" s="10"/>
    </row>
    <row r="124">
      <c r="G124" s="16"/>
      <c r="I124" s="11"/>
      <c r="J124" s="10"/>
    </row>
    <row r="125">
      <c r="G125" s="16"/>
      <c r="I125" s="11"/>
      <c r="J125" s="10"/>
    </row>
    <row r="126">
      <c r="G126" s="16"/>
      <c r="I126" s="11"/>
      <c r="J126" s="10"/>
    </row>
    <row r="127">
      <c r="G127" s="16"/>
      <c r="I127" s="11"/>
      <c r="J127" s="10"/>
    </row>
    <row r="128">
      <c r="G128" s="16"/>
      <c r="I128" s="11"/>
      <c r="J128" s="10"/>
    </row>
    <row r="129">
      <c r="G129" s="16"/>
      <c r="I129" s="11"/>
      <c r="J129" s="10"/>
    </row>
    <row r="130">
      <c r="G130" s="16"/>
      <c r="I130" s="11"/>
      <c r="J130" s="10"/>
    </row>
    <row r="131">
      <c r="G131" s="16"/>
      <c r="I131" s="11"/>
      <c r="J131" s="10"/>
    </row>
    <row r="132">
      <c r="G132" s="16"/>
      <c r="I132" s="11"/>
      <c r="J132" s="10"/>
    </row>
    <row r="133">
      <c r="G133" s="16"/>
      <c r="I133" s="11"/>
      <c r="J133" s="10"/>
    </row>
    <row r="134">
      <c r="G134" s="16"/>
      <c r="I134" s="11"/>
      <c r="J134" s="10"/>
    </row>
    <row r="135">
      <c r="G135" s="16"/>
      <c r="I135" s="11"/>
      <c r="J135" s="10"/>
    </row>
    <row r="136">
      <c r="G136" s="16"/>
      <c r="I136" s="11"/>
      <c r="J136" s="10"/>
    </row>
    <row r="137">
      <c r="G137" s="16"/>
      <c r="I137" s="11"/>
      <c r="J137" s="10"/>
    </row>
    <row r="138">
      <c r="G138" s="16"/>
      <c r="I138" s="11"/>
      <c r="J138" s="10"/>
    </row>
    <row r="139">
      <c r="G139" s="16"/>
      <c r="I139" s="11"/>
      <c r="J139" s="10"/>
    </row>
    <row r="140">
      <c r="G140" s="16"/>
      <c r="I140" s="11"/>
      <c r="J140" s="10"/>
    </row>
    <row r="141">
      <c r="G141" s="16"/>
      <c r="I141" s="11"/>
      <c r="J141" s="10"/>
    </row>
    <row r="142">
      <c r="G142" s="16"/>
      <c r="I142" s="11"/>
      <c r="J142" s="10"/>
    </row>
    <row r="143">
      <c r="G143" s="16"/>
      <c r="I143" s="11"/>
      <c r="J143" s="10"/>
    </row>
    <row r="144">
      <c r="G144" s="16"/>
      <c r="I144" s="11"/>
      <c r="J144" s="10"/>
    </row>
    <row r="145">
      <c r="G145" s="16"/>
      <c r="I145" s="11"/>
      <c r="J145" s="10"/>
    </row>
    <row r="146">
      <c r="G146" s="16"/>
      <c r="I146" s="11"/>
      <c r="J146" s="10"/>
    </row>
    <row r="147">
      <c r="G147" s="16"/>
      <c r="I147" s="11"/>
      <c r="J147" s="10"/>
    </row>
    <row r="148">
      <c r="G148" s="16"/>
      <c r="I148" s="11"/>
      <c r="J148" s="10"/>
    </row>
    <row r="149">
      <c r="G149" s="16"/>
      <c r="I149" s="11"/>
      <c r="J149" s="10"/>
    </row>
    <row r="150">
      <c r="G150" s="16"/>
      <c r="I150" s="11"/>
      <c r="J150" s="10"/>
    </row>
    <row r="151">
      <c r="G151" s="16"/>
      <c r="I151" s="11"/>
      <c r="J151" s="10"/>
    </row>
    <row r="152">
      <c r="G152" s="16"/>
      <c r="I152" s="11"/>
      <c r="J152" s="10"/>
    </row>
    <row r="153">
      <c r="G153" s="16"/>
      <c r="I153" s="11"/>
      <c r="J153" s="10"/>
    </row>
    <row r="154">
      <c r="G154" s="16"/>
      <c r="I154" s="11"/>
      <c r="J154" s="10"/>
    </row>
    <row r="155">
      <c r="G155" s="16"/>
      <c r="I155" s="11"/>
      <c r="J155" s="10"/>
    </row>
    <row r="156">
      <c r="G156" s="16"/>
      <c r="I156" s="11"/>
      <c r="J156" s="10"/>
    </row>
    <row r="157">
      <c r="G157" s="16"/>
      <c r="I157" s="11"/>
      <c r="J157" s="10"/>
    </row>
    <row r="158">
      <c r="G158" s="16"/>
      <c r="I158" s="11"/>
      <c r="J158" s="10"/>
    </row>
    <row r="159">
      <c r="G159" s="16"/>
      <c r="I159" s="11"/>
      <c r="J159" s="10"/>
    </row>
    <row r="160">
      <c r="G160" s="16"/>
      <c r="I160" s="11"/>
      <c r="J160" s="10"/>
    </row>
    <row r="161">
      <c r="G161" s="16"/>
      <c r="I161" s="11"/>
      <c r="J161" s="10"/>
    </row>
    <row r="162">
      <c r="G162" s="16"/>
      <c r="I162" s="11"/>
      <c r="J162" s="10"/>
    </row>
    <row r="163">
      <c r="G163" s="16"/>
      <c r="I163" s="11"/>
      <c r="J163" s="10"/>
    </row>
    <row r="164">
      <c r="G164" s="16"/>
      <c r="I164" s="11"/>
      <c r="J164" s="10"/>
    </row>
    <row r="165">
      <c r="G165" s="16"/>
      <c r="I165" s="11"/>
      <c r="J165" s="10"/>
    </row>
    <row r="166">
      <c r="G166" s="16"/>
      <c r="I166" s="11"/>
      <c r="J166" s="10"/>
    </row>
    <row r="167">
      <c r="G167" s="16"/>
      <c r="I167" s="11"/>
      <c r="J167" s="10"/>
    </row>
    <row r="168">
      <c r="G168" s="16"/>
      <c r="I168" s="11"/>
      <c r="J168" s="10"/>
    </row>
    <row r="169">
      <c r="G169" s="16"/>
      <c r="I169" s="11"/>
      <c r="J169" s="10"/>
    </row>
    <row r="170">
      <c r="G170" s="16"/>
      <c r="I170" s="11"/>
      <c r="J170" s="10"/>
    </row>
    <row r="171">
      <c r="G171" s="16"/>
      <c r="I171" s="11"/>
      <c r="J171" s="10"/>
    </row>
    <row r="172">
      <c r="G172" s="16"/>
      <c r="I172" s="11"/>
      <c r="J172" s="10"/>
    </row>
    <row r="173">
      <c r="G173" s="16"/>
      <c r="I173" s="11"/>
      <c r="J173" s="10"/>
    </row>
    <row r="174">
      <c r="G174" s="16"/>
      <c r="I174" s="11"/>
      <c r="J174" s="10"/>
    </row>
    <row r="175">
      <c r="G175" s="16"/>
      <c r="I175" s="11"/>
      <c r="J175" s="10"/>
    </row>
    <row r="176">
      <c r="G176" s="16"/>
      <c r="I176" s="11"/>
      <c r="J176" s="10"/>
    </row>
    <row r="177">
      <c r="G177" s="16"/>
      <c r="I177" s="11"/>
      <c r="J177" s="10"/>
    </row>
    <row r="178">
      <c r="G178" s="16"/>
      <c r="I178" s="11"/>
      <c r="J178" s="10"/>
    </row>
    <row r="179">
      <c r="G179" s="16"/>
      <c r="I179" s="11"/>
      <c r="J179" s="10"/>
    </row>
    <row r="180">
      <c r="G180" s="16"/>
      <c r="I180" s="11"/>
      <c r="J180" s="10"/>
    </row>
    <row r="181">
      <c r="G181" s="16"/>
      <c r="I181" s="11"/>
      <c r="J181" s="10"/>
    </row>
    <row r="182">
      <c r="G182" s="16"/>
      <c r="I182" s="11"/>
      <c r="J182" s="10"/>
    </row>
    <row r="183">
      <c r="G183" s="16"/>
      <c r="I183" s="11"/>
      <c r="J183" s="10"/>
    </row>
    <row r="184">
      <c r="G184" s="16"/>
      <c r="I184" s="11"/>
      <c r="J184" s="10"/>
    </row>
    <row r="185">
      <c r="G185" s="16"/>
      <c r="I185" s="11"/>
      <c r="J185" s="10"/>
    </row>
    <row r="186">
      <c r="G186" s="16"/>
      <c r="I186" s="11"/>
      <c r="J186" s="10"/>
    </row>
    <row r="187">
      <c r="G187" s="16"/>
      <c r="I187" s="11"/>
      <c r="J187" s="10"/>
    </row>
    <row r="188">
      <c r="G188" s="16"/>
      <c r="I188" s="11"/>
      <c r="J188" s="10"/>
    </row>
    <row r="189">
      <c r="G189" s="16"/>
      <c r="I189" s="11"/>
      <c r="J189" s="10"/>
    </row>
    <row r="190">
      <c r="G190" s="16"/>
      <c r="I190" s="11"/>
      <c r="J190" s="10"/>
    </row>
    <row r="191">
      <c r="G191" s="16"/>
      <c r="I191" s="11"/>
      <c r="J191" s="10"/>
    </row>
    <row r="192">
      <c r="G192" s="16"/>
      <c r="I192" s="11"/>
      <c r="J192" s="10"/>
    </row>
    <row r="193">
      <c r="G193" s="16"/>
      <c r="I193" s="11"/>
      <c r="J193" s="10"/>
    </row>
    <row r="194">
      <c r="G194" s="16"/>
      <c r="I194" s="11"/>
      <c r="J194" s="10"/>
    </row>
    <row r="195">
      <c r="G195" s="16"/>
      <c r="I195" s="11"/>
      <c r="J195" s="10"/>
    </row>
    <row r="196">
      <c r="G196" s="16"/>
      <c r="I196" s="11"/>
      <c r="J196" s="10"/>
    </row>
    <row r="197">
      <c r="G197" s="16"/>
      <c r="I197" s="11"/>
      <c r="J197" s="10"/>
    </row>
    <row r="198">
      <c r="G198" s="16"/>
      <c r="I198" s="11"/>
      <c r="J198" s="10"/>
    </row>
    <row r="199">
      <c r="G199" s="16"/>
      <c r="I199" s="11"/>
      <c r="J199" s="10"/>
    </row>
    <row r="200">
      <c r="G200" s="16"/>
      <c r="I200" s="11"/>
      <c r="J200" s="10"/>
    </row>
    <row r="201">
      <c r="G201" s="16"/>
      <c r="I201" s="11"/>
      <c r="J201" s="10"/>
    </row>
    <row r="202">
      <c r="G202" s="16"/>
      <c r="I202" s="11"/>
      <c r="J202" s="10"/>
    </row>
    <row r="203">
      <c r="G203" s="16"/>
      <c r="I203" s="11"/>
      <c r="J203" s="10"/>
    </row>
    <row r="204">
      <c r="G204" s="16"/>
      <c r="I204" s="11"/>
      <c r="J204" s="10"/>
    </row>
    <row r="205">
      <c r="G205" s="16"/>
      <c r="I205" s="11"/>
      <c r="J205" s="10"/>
    </row>
    <row r="206">
      <c r="G206" s="16"/>
      <c r="I206" s="11"/>
      <c r="J206" s="10"/>
    </row>
    <row r="207">
      <c r="G207" s="16"/>
      <c r="I207" s="11"/>
      <c r="J207" s="10"/>
    </row>
    <row r="208">
      <c r="G208" s="16"/>
      <c r="I208" s="11"/>
      <c r="J208" s="10"/>
    </row>
    <row r="209">
      <c r="G209" s="16"/>
      <c r="I209" s="11"/>
      <c r="J209" s="10"/>
    </row>
    <row r="210">
      <c r="G210" s="16"/>
      <c r="I210" s="11"/>
      <c r="J210" s="10"/>
    </row>
    <row r="211">
      <c r="G211" s="16"/>
      <c r="I211" s="11"/>
      <c r="J211" s="10"/>
    </row>
    <row r="212">
      <c r="G212" s="16"/>
      <c r="I212" s="11"/>
      <c r="J212" s="10"/>
    </row>
    <row r="213">
      <c r="G213" s="16"/>
      <c r="I213" s="11"/>
      <c r="J213" s="10"/>
    </row>
    <row r="214">
      <c r="G214" s="16"/>
      <c r="I214" s="11"/>
      <c r="J214" s="10"/>
    </row>
    <row r="215">
      <c r="G215" s="16"/>
      <c r="I215" s="11"/>
      <c r="J215" s="10"/>
    </row>
    <row r="216">
      <c r="G216" s="16"/>
      <c r="I216" s="11"/>
      <c r="J216" s="10"/>
    </row>
    <row r="217">
      <c r="G217" s="16"/>
      <c r="I217" s="11"/>
      <c r="J217" s="10"/>
    </row>
    <row r="218">
      <c r="G218" s="16"/>
      <c r="I218" s="11"/>
      <c r="J218" s="10"/>
    </row>
    <row r="219">
      <c r="G219" s="16"/>
      <c r="I219" s="11"/>
      <c r="J219" s="10"/>
    </row>
    <row r="220">
      <c r="G220" s="16"/>
      <c r="I220" s="11"/>
      <c r="J220" s="10"/>
    </row>
    <row r="221">
      <c r="G221" s="16"/>
      <c r="I221" s="11"/>
      <c r="J221" s="10"/>
    </row>
    <row r="222">
      <c r="G222" s="16"/>
      <c r="I222" s="11"/>
      <c r="J222" s="10"/>
    </row>
    <row r="223">
      <c r="G223" s="16"/>
      <c r="I223" s="11"/>
      <c r="J223" s="10"/>
    </row>
    <row r="224">
      <c r="G224" s="16"/>
      <c r="I224" s="11"/>
      <c r="J224" s="10"/>
    </row>
    <row r="225">
      <c r="G225" s="16"/>
      <c r="I225" s="11"/>
      <c r="J225" s="10"/>
    </row>
    <row r="226">
      <c r="G226" s="16"/>
      <c r="I226" s="11"/>
      <c r="J226" s="10"/>
    </row>
    <row r="227">
      <c r="G227" s="16"/>
      <c r="I227" s="11"/>
      <c r="J227" s="10"/>
    </row>
    <row r="228">
      <c r="G228" s="16"/>
      <c r="I228" s="11"/>
      <c r="J228" s="10"/>
    </row>
    <row r="229">
      <c r="G229" s="16"/>
      <c r="I229" s="11"/>
      <c r="J229" s="10"/>
    </row>
    <row r="230">
      <c r="G230" s="16"/>
      <c r="I230" s="11"/>
      <c r="J230" s="10"/>
    </row>
    <row r="231">
      <c r="G231" s="16"/>
      <c r="I231" s="11"/>
      <c r="J231" s="10"/>
    </row>
    <row r="232">
      <c r="G232" s="16"/>
      <c r="I232" s="11"/>
      <c r="J232" s="10"/>
    </row>
    <row r="233">
      <c r="G233" s="16"/>
      <c r="I233" s="11"/>
      <c r="J233" s="10"/>
    </row>
    <row r="234">
      <c r="G234" s="16"/>
      <c r="I234" s="11"/>
      <c r="J234" s="10"/>
    </row>
    <row r="235">
      <c r="G235" s="16"/>
      <c r="I235" s="11"/>
      <c r="J235" s="10"/>
    </row>
    <row r="236">
      <c r="G236" s="16"/>
      <c r="I236" s="11"/>
      <c r="J236" s="10"/>
    </row>
    <row r="237">
      <c r="G237" s="16"/>
      <c r="I237" s="11"/>
      <c r="J237" s="10"/>
    </row>
    <row r="238">
      <c r="G238" s="16"/>
      <c r="I238" s="11"/>
      <c r="J238" s="10"/>
    </row>
    <row r="239">
      <c r="G239" s="16"/>
      <c r="I239" s="11"/>
      <c r="J239" s="10"/>
    </row>
    <row r="240">
      <c r="G240" s="16"/>
      <c r="I240" s="11"/>
      <c r="J240" s="10"/>
    </row>
    <row r="241">
      <c r="G241" s="16"/>
      <c r="I241" s="11"/>
      <c r="J241" s="10"/>
    </row>
    <row r="242">
      <c r="G242" s="16"/>
      <c r="I242" s="11"/>
      <c r="J242" s="10"/>
    </row>
    <row r="243">
      <c r="G243" s="16"/>
      <c r="I243" s="11"/>
      <c r="J243" s="10"/>
    </row>
    <row r="244">
      <c r="G244" s="16"/>
      <c r="I244" s="11"/>
      <c r="J244" s="10"/>
    </row>
    <row r="245">
      <c r="G245" s="16"/>
      <c r="I245" s="11"/>
      <c r="J245" s="10"/>
    </row>
    <row r="246">
      <c r="G246" s="16"/>
      <c r="I246" s="11"/>
      <c r="J246" s="10"/>
    </row>
    <row r="247">
      <c r="G247" s="16"/>
      <c r="I247" s="11"/>
      <c r="J247" s="10"/>
    </row>
    <row r="248">
      <c r="G248" s="16"/>
      <c r="I248" s="11"/>
      <c r="J248" s="10"/>
    </row>
    <row r="249">
      <c r="G249" s="16"/>
      <c r="I249" s="11"/>
      <c r="J249" s="10"/>
    </row>
    <row r="250">
      <c r="G250" s="16"/>
      <c r="I250" s="11"/>
      <c r="J250" s="10"/>
    </row>
    <row r="251">
      <c r="G251" s="16"/>
      <c r="I251" s="11"/>
      <c r="J251" s="10"/>
    </row>
    <row r="252">
      <c r="G252" s="16"/>
      <c r="I252" s="11"/>
      <c r="J252" s="10"/>
    </row>
    <row r="253">
      <c r="G253" s="16"/>
      <c r="I253" s="11"/>
      <c r="J253" s="10"/>
    </row>
    <row r="254">
      <c r="G254" s="16"/>
      <c r="I254" s="11"/>
      <c r="J254" s="10"/>
    </row>
    <row r="255">
      <c r="G255" s="16"/>
      <c r="I255" s="11"/>
      <c r="J255" s="10"/>
    </row>
    <row r="256">
      <c r="G256" s="16"/>
      <c r="I256" s="11"/>
      <c r="J256" s="10"/>
    </row>
    <row r="257">
      <c r="G257" s="16"/>
      <c r="I257" s="11"/>
      <c r="J257" s="10"/>
    </row>
    <row r="258">
      <c r="G258" s="16"/>
      <c r="I258" s="11"/>
      <c r="J258" s="10"/>
    </row>
    <row r="259">
      <c r="G259" s="16"/>
      <c r="I259" s="11"/>
      <c r="J259" s="10"/>
    </row>
    <row r="260">
      <c r="G260" s="16"/>
      <c r="I260" s="11"/>
      <c r="J260" s="10"/>
    </row>
    <row r="261">
      <c r="G261" s="16"/>
      <c r="I261" s="11"/>
      <c r="J261" s="10"/>
    </row>
    <row r="262">
      <c r="G262" s="16"/>
      <c r="I262" s="11"/>
      <c r="J262" s="10"/>
    </row>
    <row r="263">
      <c r="G263" s="16"/>
      <c r="I263" s="11"/>
      <c r="J263" s="10"/>
    </row>
    <row r="264">
      <c r="G264" s="16"/>
      <c r="I264" s="11"/>
      <c r="J264" s="10"/>
    </row>
    <row r="265">
      <c r="G265" s="16"/>
      <c r="I265" s="11"/>
      <c r="J265" s="10"/>
    </row>
    <row r="266">
      <c r="G266" s="16"/>
      <c r="I266" s="11"/>
      <c r="J266" s="10"/>
    </row>
    <row r="267">
      <c r="G267" s="16"/>
      <c r="I267" s="11"/>
      <c r="J267" s="10"/>
    </row>
    <row r="268">
      <c r="G268" s="16"/>
      <c r="I268" s="11"/>
      <c r="J268" s="10"/>
    </row>
    <row r="269">
      <c r="G269" s="16"/>
      <c r="I269" s="11"/>
      <c r="J269" s="10"/>
    </row>
    <row r="270">
      <c r="G270" s="16"/>
      <c r="I270" s="11"/>
      <c r="J270" s="10"/>
    </row>
    <row r="271">
      <c r="G271" s="16"/>
      <c r="I271" s="11"/>
      <c r="J271" s="10"/>
    </row>
    <row r="272">
      <c r="G272" s="16"/>
      <c r="I272" s="11"/>
      <c r="J272" s="10"/>
    </row>
    <row r="273">
      <c r="G273" s="16"/>
      <c r="I273" s="11"/>
      <c r="J273" s="10"/>
    </row>
    <row r="274">
      <c r="G274" s="16"/>
      <c r="I274" s="11"/>
      <c r="J274" s="10"/>
    </row>
    <row r="275">
      <c r="G275" s="16"/>
      <c r="I275" s="11"/>
      <c r="J275" s="10"/>
    </row>
    <row r="276">
      <c r="G276" s="16"/>
      <c r="I276" s="11"/>
      <c r="J276" s="10"/>
    </row>
    <row r="277">
      <c r="G277" s="16"/>
      <c r="I277" s="11"/>
      <c r="J277" s="10"/>
    </row>
    <row r="278">
      <c r="G278" s="16"/>
      <c r="I278" s="11"/>
      <c r="J278" s="10"/>
    </row>
    <row r="279">
      <c r="G279" s="16"/>
      <c r="I279" s="11"/>
      <c r="J279" s="10"/>
    </row>
    <row r="280">
      <c r="G280" s="16"/>
      <c r="I280" s="11"/>
      <c r="J280" s="10"/>
    </row>
    <row r="281">
      <c r="G281" s="16"/>
      <c r="I281" s="11"/>
      <c r="J281" s="10"/>
    </row>
    <row r="282">
      <c r="G282" s="16"/>
      <c r="I282" s="11"/>
      <c r="J282" s="10"/>
    </row>
    <row r="283">
      <c r="G283" s="16"/>
      <c r="I283" s="11"/>
      <c r="J283" s="10"/>
    </row>
    <row r="284">
      <c r="G284" s="16"/>
      <c r="I284" s="11"/>
      <c r="J284" s="10"/>
    </row>
    <row r="285">
      <c r="G285" s="16"/>
      <c r="I285" s="11"/>
      <c r="J285" s="10"/>
    </row>
    <row r="286">
      <c r="G286" s="16"/>
      <c r="I286" s="11"/>
      <c r="J286" s="10"/>
    </row>
    <row r="287">
      <c r="G287" s="16"/>
      <c r="I287" s="11"/>
      <c r="J287" s="10"/>
    </row>
    <row r="288">
      <c r="G288" s="16"/>
      <c r="I288" s="11"/>
      <c r="J288" s="10"/>
    </row>
    <row r="289">
      <c r="G289" s="16"/>
      <c r="I289" s="11"/>
      <c r="J289" s="10"/>
    </row>
    <row r="290">
      <c r="G290" s="16"/>
      <c r="I290" s="11"/>
      <c r="J290" s="10"/>
    </row>
    <row r="291">
      <c r="G291" s="16"/>
      <c r="I291" s="11"/>
      <c r="J291" s="10"/>
    </row>
    <row r="292">
      <c r="G292" s="16"/>
      <c r="I292" s="11"/>
      <c r="J292" s="10"/>
    </row>
    <row r="293">
      <c r="G293" s="16"/>
      <c r="I293" s="11"/>
      <c r="J293" s="10"/>
    </row>
    <row r="294">
      <c r="G294" s="16"/>
      <c r="I294" s="11"/>
      <c r="J294" s="10"/>
    </row>
    <row r="295">
      <c r="G295" s="16"/>
      <c r="I295" s="11"/>
      <c r="J295" s="10"/>
    </row>
    <row r="296">
      <c r="G296" s="16"/>
      <c r="I296" s="11"/>
      <c r="J296" s="10"/>
    </row>
    <row r="297">
      <c r="G297" s="16"/>
      <c r="I297" s="11"/>
      <c r="J297" s="10"/>
    </row>
    <row r="298">
      <c r="G298" s="16"/>
      <c r="I298" s="11"/>
      <c r="J298" s="10"/>
    </row>
    <row r="299">
      <c r="G299" s="16"/>
      <c r="I299" s="11"/>
      <c r="J299" s="10"/>
    </row>
    <row r="300">
      <c r="G300" s="16"/>
      <c r="I300" s="11"/>
      <c r="J300" s="10"/>
    </row>
    <row r="301">
      <c r="G301" s="16"/>
      <c r="I301" s="11"/>
      <c r="J301" s="10"/>
    </row>
    <row r="302">
      <c r="G302" s="16"/>
      <c r="I302" s="11"/>
      <c r="J302" s="10"/>
    </row>
    <row r="303">
      <c r="G303" s="16"/>
      <c r="I303" s="11"/>
      <c r="J303" s="10"/>
    </row>
    <row r="304">
      <c r="G304" s="16"/>
      <c r="I304" s="11"/>
      <c r="J304" s="10"/>
    </row>
    <row r="305">
      <c r="G305" s="16"/>
      <c r="I305" s="11"/>
      <c r="J305" s="10"/>
    </row>
    <row r="306">
      <c r="G306" s="16"/>
      <c r="I306" s="11"/>
      <c r="J306" s="10"/>
    </row>
    <row r="307">
      <c r="G307" s="16"/>
      <c r="I307" s="11"/>
      <c r="J307" s="10"/>
    </row>
    <row r="308">
      <c r="G308" s="16"/>
      <c r="I308" s="11"/>
      <c r="J308" s="10"/>
    </row>
    <row r="309">
      <c r="G309" s="16"/>
      <c r="I309" s="11"/>
      <c r="J309" s="10"/>
    </row>
    <row r="310">
      <c r="G310" s="16"/>
      <c r="I310" s="11"/>
      <c r="J310" s="10"/>
    </row>
    <row r="311">
      <c r="G311" s="16"/>
      <c r="I311" s="11"/>
      <c r="J311" s="10"/>
    </row>
    <row r="312">
      <c r="G312" s="16"/>
      <c r="I312" s="11"/>
      <c r="J312" s="10"/>
    </row>
    <row r="313">
      <c r="G313" s="16"/>
      <c r="I313" s="11"/>
      <c r="J313" s="10"/>
    </row>
    <row r="314">
      <c r="G314" s="16"/>
      <c r="I314" s="11"/>
      <c r="J314" s="10"/>
    </row>
    <row r="315">
      <c r="G315" s="16"/>
      <c r="I315" s="11"/>
      <c r="J315" s="10"/>
    </row>
    <row r="316">
      <c r="G316" s="16"/>
      <c r="I316" s="11"/>
      <c r="J316" s="10"/>
    </row>
    <row r="317">
      <c r="G317" s="16"/>
      <c r="I317" s="11"/>
      <c r="J317" s="10"/>
    </row>
    <row r="318">
      <c r="G318" s="16"/>
      <c r="I318" s="11"/>
      <c r="J318" s="10"/>
    </row>
    <row r="319">
      <c r="G319" s="16"/>
      <c r="I319" s="11"/>
      <c r="J319" s="10"/>
    </row>
    <row r="320">
      <c r="G320" s="16"/>
      <c r="I320" s="11"/>
      <c r="J320" s="10"/>
    </row>
    <row r="321">
      <c r="G321" s="16"/>
      <c r="I321" s="11"/>
      <c r="J321" s="10"/>
    </row>
    <row r="322">
      <c r="G322" s="16"/>
      <c r="I322" s="11"/>
      <c r="J322" s="10"/>
    </row>
    <row r="323">
      <c r="G323" s="16"/>
      <c r="I323" s="11"/>
      <c r="J323" s="10"/>
    </row>
    <row r="324">
      <c r="G324" s="16"/>
      <c r="I324" s="11"/>
      <c r="J324" s="10"/>
    </row>
    <row r="325">
      <c r="G325" s="16"/>
      <c r="I325" s="11"/>
      <c r="J325" s="10"/>
    </row>
    <row r="326">
      <c r="G326" s="16"/>
      <c r="I326" s="11"/>
      <c r="J326" s="10"/>
    </row>
    <row r="327">
      <c r="G327" s="16"/>
      <c r="I327" s="11"/>
      <c r="J327" s="10"/>
    </row>
    <row r="328">
      <c r="G328" s="16"/>
      <c r="I328" s="11"/>
      <c r="J328" s="10"/>
    </row>
    <row r="329">
      <c r="G329" s="16"/>
      <c r="I329" s="11"/>
      <c r="J329" s="10"/>
    </row>
    <row r="330">
      <c r="G330" s="16"/>
      <c r="I330" s="11"/>
      <c r="J330" s="10"/>
    </row>
    <row r="331">
      <c r="G331" s="16"/>
      <c r="I331" s="11"/>
      <c r="J331" s="10"/>
    </row>
    <row r="332">
      <c r="G332" s="16"/>
      <c r="I332" s="11"/>
      <c r="J332" s="10"/>
    </row>
    <row r="333">
      <c r="G333" s="16"/>
      <c r="I333" s="11"/>
      <c r="J333" s="10"/>
    </row>
    <row r="334">
      <c r="G334" s="16"/>
      <c r="I334" s="11"/>
      <c r="J334" s="10"/>
    </row>
    <row r="335">
      <c r="G335" s="16"/>
      <c r="I335" s="11"/>
      <c r="J335" s="10"/>
    </row>
    <row r="336">
      <c r="G336" s="16"/>
      <c r="I336" s="11"/>
      <c r="J336" s="10"/>
    </row>
    <row r="337">
      <c r="G337" s="16"/>
      <c r="I337" s="11"/>
      <c r="J337" s="10"/>
    </row>
    <row r="338">
      <c r="G338" s="16"/>
      <c r="I338" s="11"/>
      <c r="J338" s="10"/>
    </row>
    <row r="339">
      <c r="G339" s="16"/>
      <c r="I339" s="11"/>
      <c r="J339" s="10"/>
    </row>
    <row r="340">
      <c r="G340" s="16"/>
      <c r="I340" s="11"/>
      <c r="J340" s="10"/>
    </row>
    <row r="341">
      <c r="G341" s="16"/>
      <c r="I341" s="11"/>
      <c r="J341" s="10"/>
    </row>
    <row r="342">
      <c r="G342" s="16"/>
      <c r="I342" s="11"/>
      <c r="J342" s="10"/>
    </row>
    <row r="343">
      <c r="G343" s="16"/>
      <c r="I343" s="11"/>
      <c r="J343" s="10"/>
    </row>
    <row r="344">
      <c r="G344" s="16"/>
      <c r="I344" s="11"/>
      <c r="J344" s="10"/>
    </row>
    <row r="345">
      <c r="G345" s="16"/>
      <c r="I345" s="11"/>
      <c r="J345" s="10"/>
    </row>
    <row r="346">
      <c r="G346" s="16"/>
      <c r="I346" s="11"/>
      <c r="J346" s="10"/>
    </row>
    <row r="347">
      <c r="G347" s="16"/>
      <c r="I347" s="11"/>
      <c r="J347" s="10"/>
    </row>
    <row r="348">
      <c r="G348" s="16"/>
      <c r="I348" s="11"/>
      <c r="J348" s="10"/>
    </row>
    <row r="349">
      <c r="G349" s="16"/>
      <c r="I349" s="11"/>
      <c r="J349" s="10"/>
    </row>
    <row r="350">
      <c r="G350" s="16"/>
      <c r="I350" s="11"/>
      <c r="J350" s="10"/>
    </row>
    <row r="351">
      <c r="G351" s="16"/>
      <c r="I351" s="11"/>
      <c r="J351" s="10"/>
    </row>
    <row r="352">
      <c r="G352" s="16"/>
      <c r="I352" s="11"/>
      <c r="J352" s="10"/>
    </row>
    <row r="353">
      <c r="G353" s="16"/>
      <c r="I353" s="11"/>
      <c r="J353" s="10"/>
    </row>
    <row r="354">
      <c r="G354" s="16"/>
      <c r="I354" s="11"/>
      <c r="J354" s="10"/>
    </row>
    <row r="355">
      <c r="G355" s="16"/>
      <c r="I355" s="11"/>
      <c r="J355" s="10"/>
    </row>
    <row r="356">
      <c r="G356" s="16"/>
      <c r="I356" s="11"/>
      <c r="J356" s="10"/>
    </row>
    <row r="357">
      <c r="G357" s="16"/>
      <c r="I357" s="11"/>
      <c r="J357" s="10"/>
    </row>
    <row r="358">
      <c r="G358" s="16"/>
      <c r="I358" s="11"/>
      <c r="J358" s="10"/>
    </row>
    <row r="359">
      <c r="G359" s="16"/>
      <c r="I359" s="11"/>
      <c r="J359" s="10"/>
    </row>
    <row r="360">
      <c r="G360" s="16"/>
      <c r="I360" s="11"/>
      <c r="J360" s="10"/>
    </row>
    <row r="361">
      <c r="G361" s="16"/>
      <c r="I361" s="11"/>
      <c r="J361" s="10"/>
    </row>
    <row r="362">
      <c r="G362" s="16"/>
      <c r="I362" s="11"/>
      <c r="J362" s="10"/>
    </row>
    <row r="363">
      <c r="G363" s="16"/>
      <c r="I363" s="11"/>
      <c r="J363" s="10"/>
    </row>
    <row r="364">
      <c r="G364" s="16"/>
      <c r="I364" s="11"/>
      <c r="J364" s="10"/>
    </row>
    <row r="365">
      <c r="G365" s="16"/>
      <c r="I365" s="11"/>
      <c r="J365" s="10"/>
    </row>
    <row r="366">
      <c r="G366" s="16"/>
      <c r="I366" s="11"/>
      <c r="J366" s="10"/>
    </row>
    <row r="367">
      <c r="G367" s="16"/>
      <c r="I367" s="11"/>
      <c r="J367" s="10"/>
    </row>
    <row r="368">
      <c r="G368" s="16"/>
      <c r="I368" s="11"/>
      <c r="J368" s="10"/>
    </row>
    <row r="369">
      <c r="G369" s="16"/>
      <c r="I369" s="11"/>
      <c r="J369" s="10"/>
    </row>
    <row r="370">
      <c r="G370" s="16"/>
      <c r="I370" s="11"/>
      <c r="J370" s="10"/>
    </row>
    <row r="371">
      <c r="G371" s="16"/>
      <c r="I371" s="11"/>
      <c r="J371" s="10"/>
    </row>
    <row r="372">
      <c r="G372" s="16"/>
      <c r="I372" s="11"/>
      <c r="J372" s="10"/>
    </row>
    <row r="373">
      <c r="G373" s="16"/>
      <c r="I373" s="11"/>
      <c r="J373" s="10"/>
    </row>
    <row r="374">
      <c r="G374" s="16"/>
      <c r="I374" s="11"/>
      <c r="J374" s="10"/>
    </row>
    <row r="375">
      <c r="G375" s="16"/>
      <c r="I375" s="11"/>
      <c r="J375" s="10"/>
    </row>
    <row r="376">
      <c r="G376" s="16"/>
      <c r="I376" s="11"/>
      <c r="J376" s="10"/>
    </row>
    <row r="377">
      <c r="G377" s="16"/>
      <c r="I377" s="11"/>
      <c r="J377" s="10"/>
    </row>
    <row r="378">
      <c r="G378" s="16"/>
      <c r="I378" s="11"/>
      <c r="J378" s="10"/>
    </row>
    <row r="379">
      <c r="G379" s="16"/>
      <c r="I379" s="11"/>
      <c r="J379" s="10"/>
    </row>
    <row r="380">
      <c r="G380" s="16"/>
      <c r="I380" s="11"/>
      <c r="J380" s="10"/>
    </row>
    <row r="381">
      <c r="G381" s="16"/>
      <c r="I381" s="11"/>
      <c r="J381" s="10"/>
    </row>
    <row r="382">
      <c r="G382" s="16"/>
      <c r="I382" s="11"/>
      <c r="J382" s="10"/>
    </row>
    <row r="383">
      <c r="G383" s="16"/>
      <c r="I383" s="11"/>
      <c r="J383" s="10"/>
    </row>
    <row r="384">
      <c r="G384" s="16"/>
      <c r="I384" s="11"/>
      <c r="J384" s="10"/>
    </row>
    <row r="385">
      <c r="G385" s="16"/>
      <c r="I385" s="11"/>
      <c r="J385" s="10"/>
    </row>
    <row r="386">
      <c r="G386" s="16"/>
      <c r="I386" s="11"/>
      <c r="J386" s="10"/>
    </row>
    <row r="387">
      <c r="G387" s="16"/>
      <c r="I387" s="11"/>
      <c r="J387" s="10"/>
    </row>
    <row r="388">
      <c r="G388" s="16"/>
      <c r="I388" s="11"/>
      <c r="J388" s="10"/>
    </row>
    <row r="389">
      <c r="G389" s="16"/>
      <c r="I389" s="11"/>
      <c r="J389" s="10"/>
    </row>
    <row r="390">
      <c r="G390" s="16"/>
      <c r="I390" s="11"/>
      <c r="J390" s="10"/>
    </row>
    <row r="391">
      <c r="G391" s="16"/>
      <c r="I391" s="11"/>
      <c r="J391" s="10"/>
    </row>
    <row r="392">
      <c r="G392" s="16"/>
      <c r="I392" s="11"/>
      <c r="J392" s="10"/>
    </row>
    <row r="393">
      <c r="G393" s="16"/>
      <c r="I393" s="11"/>
      <c r="J393" s="10"/>
    </row>
    <row r="394">
      <c r="G394" s="16"/>
      <c r="I394" s="11"/>
      <c r="J394" s="10"/>
    </row>
    <row r="395">
      <c r="G395" s="16"/>
      <c r="I395" s="11"/>
      <c r="J395" s="10"/>
    </row>
    <row r="396">
      <c r="G396" s="16"/>
      <c r="I396" s="11"/>
      <c r="J396" s="10"/>
    </row>
    <row r="397">
      <c r="G397" s="16"/>
      <c r="I397" s="11"/>
      <c r="J397" s="10"/>
    </row>
    <row r="398">
      <c r="G398" s="16"/>
      <c r="I398" s="11"/>
      <c r="J398" s="10"/>
    </row>
    <row r="399">
      <c r="G399" s="16"/>
      <c r="I399" s="11"/>
      <c r="J399" s="10"/>
    </row>
    <row r="400">
      <c r="G400" s="16"/>
      <c r="I400" s="11"/>
      <c r="J400" s="10"/>
    </row>
    <row r="401">
      <c r="G401" s="16"/>
      <c r="I401" s="11"/>
      <c r="J401" s="10"/>
    </row>
    <row r="402">
      <c r="G402" s="16"/>
      <c r="I402" s="11"/>
      <c r="J402" s="10"/>
    </row>
    <row r="403">
      <c r="G403" s="16"/>
      <c r="I403" s="11"/>
      <c r="J403" s="10"/>
    </row>
    <row r="404">
      <c r="G404" s="16"/>
      <c r="I404" s="11"/>
      <c r="J404" s="10"/>
    </row>
    <row r="405">
      <c r="G405" s="16"/>
      <c r="I405" s="11"/>
      <c r="J405" s="10"/>
    </row>
    <row r="406">
      <c r="G406" s="16"/>
      <c r="I406" s="11"/>
      <c r="J406" s="10"/>
    </row>
    <row r="407">
      <c r="G407" s="16"/>
      <c r="I407" s="11"/>
      <c r="J407" s="10"/>
    </row>
    <row r="408">
      <c r="G408" s="16"/>
      <c r="I408" s="11"/>
      <c r="J408" s="10"/>
    </row>
    <row r="409">
      <c r="G409" s="16"/>
      <c r="I409" s="11"/>
      <c r="J409" s="10"/>
    </row>
    <row r="410">
      <c r="G410" s="16"/>
      <c r="I410" s="11"/>
      <c r="J410" s="10"/>
    </row>
    <row r="411">
      <c r="G411" s="16"/>
      <c r="I411" s="11"/>
      <c r="J411" s="10"/>
    </row>
    <row r="412">
      <c r="G412" s="16"/>
      <c r="I412" s="11"/>
      <c r="J412" s="10"/>
    </row>
    <row r="413">
      <c r="G413" s="16"/>
      <c r="I413" s="11"/>
      <c r="J413" s="10"/>
    </row>
    <row r="414">
      <c r="G414" s="16"/>
      <c r="I414" s="11"/>
      <c r="J414" s="10"/>
    </row>
    <row r="415">
      <c r="G415" s="16"/>
      <c r="I415" s="11"/>
      <c r="J415" s="10"/>
    </row>
    <row r="416">
      <c r="G416" s="16"/>
      <c r="I416" s="11"/>
      <c r="J416" s="10"/>
    </row>
    <row r="417">
      <c r="G417" s="16"/>
      <c r="I417" s="11"/>
      <c r="J417" s="10"/>
    </row>
    <row r="418">
      <c r="G418" s="16"/>
      <c r="I418" s="11"/>
      <c r="J418" s="10"/>
    </row>
    <row r="419">
      <c r="G419" s="16"/>
      <c r="I419" s="11"/>
      <c r="J419" s="10"/>
    </row>
    <row r="420">
      <c r="G420" s="16"/>
      <c r="I420" s="11"/>
      <c r="J420" s="10"/>
    </row>
    <row r="421">
      <c r="G421" s="16"/>
      <c r="I421" s="11"/>
      <c r="J421" s="10"/>
    </row>
    <row r="422">
      <c r="G422" s="16"/>
      <c r="I422" s="11"/>
      <c r="J422" s="10"/>
    </row>
    <row r="423">
      <c r="G423" s="16"/>
      <c r="I423" s="11"/>
      <c r="J423" s="10"/>
    </row>
    <row r="424">
      <c r="G424" s="16"/>
      <c r="I424" s="11"/>
      <c r="J424" s="10"/>
    </row>
    <row r="425">
      <c r="G425" s="16"/>
      <c r="I425" s="11"/>
      <c r="J425" s="10"/>
    </row>
    <row r="426">
      <c r="G426" s="16"/>
      <c r="I426" s="11"/>
      <c r="J426" s="10"/>
    </row>
    <row r="427">
      <c r="G427" s="16"/>
      <c r="I427" s="11"/>
      <c r="J427" s="10"/>
    </row>
    <row r="428">
      <c r="G428" s="16"/>
      <c r="I428" s="11"/>
      <c r="J428" s="10"/>
    </row>
    <row r="429">
      <c r="G429" s="16"/>
      <c r="I429" s="11"/>
      <c r="J429" s="10"/>
    </row>
    <row r="430">
      <c r="G430" s="16"/>
      <c r="I430" s="11"/>
      <c r="J430" s="10"/>
    </row>
    <row r="431">
      <c r="G431" s="16"/>
      <c r="I431" s="11"/>
      <c r="J431" s="10"/>
    </row>
    <row r="432">
      <c r="G432" s="16"/>
      <c r="I432" s="11"/>
      <c r="J432" s="10"/>
    </row>
    <row r="433">
      <c r="G433" s="16"/>
      <c r="I433" s="11"/>
      <c r="J433" s="10"/>
    </row>
    <row r="434">
      <c r="G434" s="16"/>
      <c r="I434" s="11"/>
      <c r="J434" s="10"/>
    </row>
    <row r="435">
      <c r="G435" s="16"/>
      <c r="I435" s="11"/>
      <c r="J435" s="10"/>
    </row>
    <row r="436">
      <c r="G436" s="16"/>
      <c r="I436" s="11"/>
      <c r="J436" s="10"/>
    </row>
    <row r="437">
      <c r="G437" s="16"/>
      <c r="I437" s="11"/>
      <c r="J437" s="10"/>
    </row>
    <row r="438">
      <c r="G438" s="16"/>
      <c r="I438" s="11"/>
      <c r="J438" s="10"/>
    </row>
    <row r="439">
      <c r="G439" s="16"/>
      <c r="I439" s="11"/>
      <c r="J439" s="10"/>
    </row>
    <row r="440">
      <c r="G440" s="16"/>
      <c r="I440" s="11"/>
      <c r="J440" s="10"/>
    </row>
    <row r="441">
      <c r="G441" s="16"/>
      <c r="I441" s="11"/>
      <c r="J441" s="10"/>
    </row>
    <row r="442">
      <c r="G442" s="16"/>
      <c r="I442" s="11"/>
      <c r="J442" s="10"/>
    </row>
    <row r="443">
      <c r="G443" s="16"/>
      <c r="I443" s="11"/>
      <c r="J443" s="10"/>
    </row>
    <row r="444">
      <c r="G444" s="16"/>
      <c r="I444" s="11"/>
      <c r="J444" s="10"/>
    </row>
    <row r="445">
      <c r="G445" s="16"/>
      <c r="I445" s="11"/>
      <c r="J445" s="10"/>
    </row>
    <row r="446">
      <c r="G446" s="16"/>
      <c r="I446" s="11"/>
      <c r="J446" s="10"/>
    </row>
    <row r="447">
      <c r="G447" s="16"/>
      <c r="I447" s="11"/>
      <c r="J447" s="10"/>
    </row>
    <row r="448">
      <c r="G448" s="16"/>
      <c r="I448" s="11"/>
      <c r="J448" s="10"/>
    </row>
    <row r="449">
      <c r="G449" s="16"/>
      <c r="I449" s="11"/>
      <c r="J449" s="10"/>
    </row>
    <row r="450">
      <c r="G450" s="16"/>
      <c r="I450" s="11"/>
      <c r="J450" s="10"/>
    </row>
    <row r="451">
      <c r="G451" s="16"/>
      <c r="I451" s="11"/>
      <c r="J451" s="10"/>
    </row>
    <row r="452">
      <c r="G452" s="16"/>
      <c r="I452" s="11"/>
      <c r="J452" s="10"/>
    </row>
    <row r="453">
      <c r="G453" s="16"/>
      <c r="I453" s="11"/>
      <c r="J453" s="10"/>
    </row>
    <row r="454">
      <c r="G454" s="16"/>
      <c r="I454" s="11"/>
      <c r="J454" s="10"/>
    </row>
    <row r="455">
      <c r="G455" s="16"/>
      <c r="I455" s="11"/>
      <c r="J455" s="10"/>
    </row>
    <row r="456">
      <c r="G456" s="16"/>
      <c r="I456" s="11"/>
      <c r="J456" s="10"/>
    </row>
    <row r="457">
      <c r="G457" s="16"/>
      <c r="I457" s="11"/>
      <c r="J457" s="10"/>
    </row>
    <row r="458">
      <c r="G458" s="16"/>
      <c r="I458" s="11"/>
      <c r="J458" s="10"/>
    </row>
    <row r="459">
      <c r="G459" s="16"/>
      <c r="I459" s="11"/>
      <c r="J459" s="10"/>
    </row>
    <row r="460">
      <c r="G460" s="16"/>
      <c r="I460" s="11"/>
      <c r="J460" s="10"/>
    </row>
    <row r="461">
      <c r="G461" s="16"/>
      <c r="I461" s="11"/>
      <c r="J461" s="10"/>
    </row>
    <row r="462">
      <c r="G462" s="16"/>
      <c r="I462" s="11"/>
      <c r="J462" s="10"/>
    </row>
    <row r="463">
      <c r="G463" s="16"/>
      <c r="I463" s="11"/>
      <c r="J463" s="10"/>
    </row>
    <row r="464">
      <c r="G464" s="16"/>
      <c r="I464" s="11"/>
      <c r="J464" s="10"/>
    </row>
    <row r="465">
      <c r="G465" s="16"/>
      <c r="I465" s="11"/>
      <c r="J465" s="10"/>
    </row>
    <row r="466">
      <c r="G466" s="16"/>
      <c r="I466" s="11"/>
      <c r="J466" s="10"/>
    </row>
    <row r="467">
      <c r="G467" s="16"/>
      <c r="I467" s="11"/>
      <c r="J467" s="10"/>
    </row>
    <row r="468">
      <c r="G468" s="16"/>
      <c r="I468" s="11"/>
      <c r="J468" s="10"/>
    </row>
    <row r="469">
      <c r="G469" s="16"/>
      <c r="I469" s="11"/>
      <c r="J469" s="10"/>
    </row>
    <row r="470">
      <c r="G470" s="16"/>
      <c r="I470" s="11"/>
      <c r="J470" s="10"/>
    </row>
    <row r="471">
      <c r="G471" s="16"/>
      <c r="I471" s="11"/>
      <c r="J471" s="10"/>
    </row>
    <row r="472">
      <c r="G472" s="16"/>
      <c r="I472" s="11"/>
      <c r="J472" s="10"/>
    </row>
    <row r="473">
      <c r="G473" s="16"/>
      <c r="I473" s="11"/>
      <c r="J473" s="10"/>
    </row>
    <row r="474">
      <c r="G474" s="16"/>
      <c r="I474" s="11"/>
      <c r="J474" s="10"/>
    </row>
    <row r="475">
      <c r="G475" s="16"/>
      <c r="I475" s="11"/>
      <c r="J475" s="10"/>
    </row>
    <row r="476">
      <c r="G476" s="16"/>
      <c r="I476" s="11"/>
      <c r="J476" s="10"/>
    </row>
    <row r="477">
      <c r="G477" s="16"/>
      <c r="I477" s="11"/>
      <c r="J477" s="10"/>
    </row>
    <row r="478">
      <c r="G478" s="16"/>
      <c r="I478" s="11"/>
      <c r="J478" s="10"/>
    </row>
    <row r="479">
      <c r="G479" s="16"/>
      <c r="I479" s="11"/>
      <c r="J479" s="10"/>
    </row>
    <row r="480">
      <c r="G480" s="16"/>
      <c r="I480" s="11"/>
      <c r="J480" s="10"/>
    </row>
    <row r="481">
      <c r="G481" s="16"/>
      <c r="I481" s="11"/>
      <c r="J481" s="10"/>
    </row>
    <row r="482">
      <c r="G482" s="16"/>
      <c r="I482" s="11"/>
      <c r="J482" s="10"/>
    </row>
    <row r="483">
      <c r="G483" s="16"/>
      <c r="I483" s="11"/>
      <c r="J483" s="10"/>
    </row>
    <row r="484">
      <c r="G484" s="16"/>
      <c r="I484" s="11"/>
      <c r="J484" s="10"/>
    </row>
    <row r="485">
      <c r="G485" s="16"/>
      <c r="I485" s="11"/>
      <c r="J485" s="10"/>
    </row>
    <row r="486">
      <c r="G486" s="16"/>
      <c r="I486" s="11"/>
      <c r="J486" s="10"/>
    </row>
    <row r="487">
      <c r="G487" s="16"/>
      <c r="I487" s="11"/>
      <c r="J487" s="10"/>
    </row>
    <row r="488">
      <c r="G488" s="16"/>
      <c r="I488" s="11"/>
      <c r="J488" s="10"/>
    </row>
    <row r="489">
      <c r="G489" s="16"/>
      <c r="I489" s="11"/>
      <c r="J489" s="10"/>
    </row>
    <row r="490">
      <c r="G490" s="16"/>
      <c r="I490" s="11"/>
      <c r="J490" s="10"/>
    </row>
    <row r="491">
      <c r="G491" s="16"/>
      <c r="I491" s="11"/>
      <c r="J491" s="10"/>
    </row>
    <row r="492">
      <c r="G492" s="16"/>
      <c r="I492" s="11"/>
      <c r="J492" s="10"/>
    </row>
    <row r="493">
      <c r="G493" s="16"/>
      <c r="I493" s="11"/>
      <c r="J493" s="10"/>
    </row>
    <row r="494">
      <c r="G494" s="16"/>
      <c r="I494" s="11"/>
      <c r="J494" s="10"/>
    </row>
    <row r="495">
      <c r="G495" s="16"/>
      <c r="I495" s="11"/>
      <c r="J495" s="10"/>
    </row>
    <row r="496">
      <c r="G496" s="16"/>
      <c r="I496" s="11"/>
      <c r="J496" s="10"/>
    </row>
    <row r="497">
      <c r="G497" s="16"/>
      <c r="I497" s="11"/>
      <c r="J497" s="10"/>
    </row>
    <row r="498">
      <c r="G498" s="16"/>
      <c r="I498" s="11"/>
      <c r="J498" s="10"/>
    </row>
    <row r="499">
      <c r="G499" s="16"/>
      <c r="I499" s="11"/>
      <c r="J499" s="10"/>
    </row>
    <row r="500">
      <c r="G500" s="16"/>
      <c r="I500" s="11"/>
      <c r="J500" s="10"/>
    </row>
    <row r="501">
      <c r="G501" s="16"/>
      <c r="I501" s="11"/>
      <c r="J501" s="10"/>
    </row>
    <row r="502">
      <c r="G502" s="16"/>
      <c r="I502" s="11"/>
      <c r="J502" s="10"/>
    </row>
    <row r="503">
      <c r="G503" s="16"/>
      <c r="I503" s="11"/>
      <c r="J503" s="10"/>
    </row>
    <row r="504">
      <c r="G504" s="16"/>
      <c r="I504" s="11"/>
      <c r="J504" s="10"/>
    </row>
    <row r="505">
      <c r="G505" s="16"/>
      <c r="I505" s="11"/>
      <c r="J505" s="10"/>
    </row>
    <row r="506">
      <c r="G506" s="16"/>
      <c r="I506" s="11"/>
      <c r="J506" s="10"/>
    </row>
    <row r="507">
      <c r="G507" s="16"/>
      <c r="I507" s="11"/>
      <c r="J507" s="10"/>
    </row>
    <row r="508">
      <c r="G508" s="16"/>
      <c r="I508" s="11"/>
      <c r="J508" s="10"/>
    </row>
    <row r="509">
      <c r="G509" s="16"/>
      <c r="I509" s="11"/>
      <c r="J509" s="10"/>
    </row>
    <row r="510">
      <c r="G510" s="16"/>
      <c r="I510" s="11"/>
      <c r="J510" s="10"/>
    </row>
    <row r="511">
      <c r="G511" s="16"/>
      <c r="I511" s="11"/>
      <c r="J511" s="10"/>
    </row>
    <row r="512">
      <c r="G512" s="16"/>
      <c r="I512" s="11"/>
      <c r="J512" s="10"/>
    </row>
    <row r="513">
      <c r="G513" s="16"/>
      <c r="I513" s="11"/>
      <c r="J513" s="10"/>
    </row>
    <row r="514">
      <c r="G514" s="16"/>
      <c r="I514" s="11"/>
      <c r="J514" s="10"/>
    </row>
    <row r="515">
      <c r="G515" s="16"/>
      <c r="I515" s="11"/>
      <c r="J515" s="10"/>
    </row>
    <row r="516">
      <c r="G516" s="16"/>
      <c r="I516" s="11"/>
      <c r="J516" s="10"/>
    </row>
    <row r="517">
      <c r="G517" s="16"/>
      <c r="I517" s="11"/>
      <c r="J517" s="10"/>
    </row>
    <row r="518">
      <c r="G518" s="16"/>
      <c r="I518" s="11"/>
      <c r="J518" s="10"/>
    </row>
    <row r="519">
      <c r="G519" s="16"/>
      <c r="I519" s="11"/>
      <c r="J519" s="10"/>
    </row>
    <row r="520">
      <c r="G520" s="16"/>
      <c r="I520" s="11"/>
      <c r="J520" s="10"/>
    </row>
    <row r="521">
      <c r="G521" s="16"/>
      <c r="I521" s="11"/>
      <c r="J521" s="10"/>
    </row>
    <row r="522">
      <c r="G522" s="16"/>
      <c r="I522" s="11"/>
      <c r="J522" s="10"/>
    </row>
    <row r="523">
      <c r="G523" s="16"/>
      <c r="I523" s="11"/>
      <c r="J523" s="10"/>
    </row>
    <row r="524">
      <c r="G524" s="16"/>
      <c r="I524" s="11"/>
      <c r="J524" s="10"/>
    </row>
    <row r="525">
      <c r="G525" s="16"/>
      <c r="I525" s="11"/>
      <c r="J525" s="10"/>
    </row>
    <row r="526">
      <c r="G526" s="16"/>
      <c r="I526" s="11"/>
      <c r="J526" s="10"/>
    </row>
    <row r="527">
      <c r="G527" s="16"/>
      <c r="I527" s="11"/>
      <c r="J527" s="10"/>
    </row>
    <row r="528">
      <c r="G528" s="16"/>
      <c r="I528" s="11"/>
      <c r="J528" s="10"/>
    </row>
    <row r="529">
      <c r="G529" s="16"/>
      <c r="I529" s="11"/>
      <c r="J529" s="10"/>
    </row>
    <row r="530">
      <c r="G530" s="16"/>
      <c r="I530" s="11"/>
      <c r="J530" s="10"/>
    </row>
    <row r="531">
      <c r="G531" s="16"/>
      <c r="I531" s="11"/>
      <c r="J531" s="10"/>
    </row>
    <row r="532">
      <c r="G532" s="16"/>
      <c r="I532" s="11"/>
      <c r="J532" s="10"/>
    </row>
    <row r="533">
      <c r="G533" s="16"/>
      <c r="I533" s="11"/>
      <c r="J533" s="10"/>
    </row>
    <row r="534">
      <c r="G534" s="16"/>
      <c r="I534" s="11"/>
      <c r="J534" s="10"/>
    </row>
    <row r="535">
      <c r="G535" s="16"/>
      <c r="I535" s="11"/>
      <c r="J535" s="10"/>
    </row>
    <row r="536">
      <c r="G536" s="16"/>
      <c r="I536" s="11"/>
      <c r="J536" s="10"/>
    </row>
    <row r="537">
      <c r="G537" s="16"/>
      <c r="I537" s="11"/>
      <c r="J537" s="10"/>
    </row>
    <row r="538">
      <c r="G538" s="16"/>
      <c r="I538" s="11"/>
      <c r="J538" s="10"/>
    </row>
    <row r="539">
      <c r="G539" s="16"/>
      <c r="I539" s="11"/>
      <c r="J539" s="10"/>
    </row>
    <row r="540">
      <c r="G540" s="16"/>
      <c r="I540" s="11"/>
      <c r="J540" s="10"/>
    </row>
    <row r="541">
      <c r="G541" s="16"/>
      <c r="I541" s="11"/>
      <c r="J541" s="10"/>
    </row>
    <row r="542">
      <c r="G542" s="16"/>
      <c r="I542" s="11"/>
      <c r="J542" s="10"/>
    </row>
    <row r="543">
      <c r="G543" s="16"/>
      <c r="I543" s="11"/>
      <c r="J543" s="10"/>
    </row>
    <row r="544">
      <c r="G544" s="16"/>
      <c r="I544" s="11"/>
      <c r="J544" s="10"/>
    </row>
    <row r="545">
      <c r="G545" s="16"/>
      <c r="I545" s="11"/>
      <c r="J545" s="10"/>
    </row>
    <row r="546">
      <c r="G546" s="16"/>
      <c r="I546" s="11"/>
      <c r="J546" s="10"/>
    </row>
    <row r="547">
      <c r="G547" s="16"/>
      <c r="I547" s="11"/>
      <c r="J547" s="10"/>
    </row>
    <row r="548">
      <c r="G548" s="16"/>
      <c r="I548" s="11"/>
      <c r="J548" s="10"/>
    </row>
    <row r="549">
      <c r="G549" s="16"/>
      <c r="I549" s="11"/>
      <c r="J549" s="10"/>
    </row>
    <row r="550">
      <c r="G550" s="16"/>
      <c r="I550" s="11"/>
      <c r="J550" s="10"/>
    </row>
    <row r="551">
      <c r="G551" s="16"/>
      <c r="I551" s="11"/>
      <c r="J551" s="10"/>
    </row>
    <row r="552">
      <c r="G552" s="16"/>
      <c r="I552" s="11"/>
      <c r="J552" s="10"/>
    </row>
    <row r="553">
      <c r="G553" s="16"/>
      <c r="I553" s="11"/>
      <c r="J553" s="10"/>
    </row>
    <row r="554">
      <c r="G554" s="16"/>
      <c r="I554" s="11"/>
      <c r="J554" s="10"/>
    </row>
    <row r="555">
      <c r="G555" s="16"/>
      <c r="I555" s="11"/>
      <c r="J555" s="10"/>
    </row>
    <row r="556">
      <c r="G556" s="16"/>
      <c r="I556" s="11"/>
      <c r="J556" s="10"/>
    </row>
    <row r="557">
      <c r="G557" s="16"/>
      <c r="I557" s="11"/>
      <c r="J557" s="10"/>
    </row>
    <row r="558">
      <c r="G558" s="16"/>
      <c r="I558" s="11"/>
      <c r="J558" s="10"/>
    </row>
    <row r="559">
      <c r="G559" s="16"/>
      <c r="I559" s="11"/>
      <c r="J559" s="10"/>
    </row>
    <row r="560">
      <c r="G560" s="16"/>
      <c r="I560" s="11"/>
      <c r="J560" s="10"/>
    </row>
    <row r="561">
      <c r="G561" s="16"/>
      <c r="I561" s="11"/>
      <c r="J561" s="10"/>
    </row>
    <row r="562">
      <c r="G562" s="16"/>
      <c r="I562" s="11"/>
      <c r="J562" s="10"/>
    </row>
    <row r="563">
      <c r="G563" s="16"/>
      <c r="I563" s="11"/>
      <c r="J563" s="10"/>
    </row>
    <row r="564">
      <c r="G564" s="16"/>
      <c r="I564" s="11"/>
      <c r="J564" s="10"/>
    </row>
    <row r="565">
      <c r="G565" s="16"/>
      <c r="I565" s="11"/>
      <c r="J565" s="10"/>
    </row>
    <row r="566">
      <c r="G566" s="16"/>
      <c r="I566" s="11"/>
      <c r="J566" s="10"/>
    </row>
    <row r="567">
      <c r="G567" s="16"/>
      <c r="I567" s="11"/>
      <c r="J567" s="10"/>
    </row>
    <row r="568">
      <c r="G568" s="16"/>
      <c r="I568" s="11"/>
      <c r="J568" s="10"/>
    </row>
    <row r="569">
      <c r="G569" s="16"/>
      <c r="I569" s="11"/>
      <c r="J569" s="10"/>
    </row>
    <row r="570">
      <c r="G570" s="16"/>
      <c r="I570" s="11"/>
      <c r="J570" s="10"/>
    </row>
    <row r="571">
      <c r="G571" s="16"/>
      <c r="I571" s="11"/>
      <c r="J571" s="10"/>
    </row>
    <row r="572">
      <c r="G572" s="16"/>
      <c r="I572" s="11"/>
      <c r="J572" s="10"/>
    </row>
    <row r="573">
      <c r="G573" s="16"/>
      <c r="I573" s="11"/>
      <c r="J573" s="10"/>
    </row>
    <row r="574">
      <c r="G574" s="16"/>
      <c r="I574" s="11"/>
      <c r="J574" s="10"/>
    </row>
    <row r="575">
      <c r="G575" s="16"/>
      <c r="I575" s="11"/>
      <c r="J575" s="10"/>
    </row>
    <row r="576">
      <c r="G576" s="16"/>
      <c r="I576" s="11"/>
      <c r="J576" s="10"/>
    </row>
    <row r="577">
      <c r="G577" s="16"/>
      <c r="I577" s="11"/>
      <c r="J577" s="10"/>
    </row>
    <row r="578">
      <c r="G578" s="16"/>
      <c r="I578" s="11"/>
      <c r="J578" s="10"/>
    </row>
    <row r="579">
      <c r="G579" s="16"/>
      <c r="I579" s="11"/>
      <c r="J579" s="10"/>
    </row>
    <row r="580">
      <c r="G580" s="16"/>
      <c r="I580" s="11"/>
      <c r="J580" s="10"/>
    </row>
    <row r="581">
      <c r="G581" s="16"/>
      <c r="I581" s="11"/>
      <c r="J581" s="10"/>
    </row>
    <row r="582">
      <c r="G582" s="16"/>
      <c r="I582" s="11"/>
      <c r="J582" s="10"/>
    </row>
    <row r="583">
      <c r="G583" s="16"/>
      <c r="I583" s="11"/>
      <c r="J583" s="10"/>
    </row>
    <row r="584">
      <c r="G584" s="16"/>
      <c r="I584" s="11"/>
      <c r="J584" s="10"/>
    </row>
    <row r="585">
      <c r="G585" s="16"/>
      <c r="I585" s="11"/>
      <c r="J585" s="10"/>
    </row>
    <row r="586">
      <c r="G586" s="16"/>
      <c r="I586" s="11"/>
      <c r="J586" s="10"/>
    </row>
    <row r="587">
      <c r="G587" s="16"/>
      <c r="I587" s="11"/>
      <c r="J587" s="10"/>
    </row>
    <row r="588">
      <c r="G588" s="16"/>
      <c r="I588" s="11"/>
      <c r="J588" s="10"/>
    </row>
    <row r="589">
      <c r="G589" s="16"/>
      <c r="I589" s="11"/>
      <c r="J589" s="10"/>
    </row>
    <row r="590">
      <c r="G590" s="16"/>
      <c r="I590" s="11"/>
      <c r="J590" s="10"/>
    </row>
    <row r="591">
      <c r="G591" s="16"/>
      <c r="I591" s="11"/>
      <c r="J591" s="10"/>
    </row>
    <row r="592">
      <c r="G592" s="16"/>
      <c r="I592" s="11"/>
      <c r="J592" s="10"/>
    </row>
    <row r="593">
      <c r="G593" s="16"/>
      <c r="I593" s="11"/>
      <c r="J593" s="10"/>
    </row>
    <row r="594">
      <c r="G594" s="16"/>
      <c r="I594" s="11"/>
      <c r="J594" s="10"/>
    </row>
    <row r="595">
      <c r="G595" s="16"/>
      <c r="I595" s="11"/>
      <c r="J595" s="10"/>
    </row>
    <row r="596">
      <c r="G596" s="16"/>
      <c r="I596" s="11"/>
      <c r="J596" s="10"/>
    </row>
    <row r="597">
      <c r="G597" s="16"/>
      <c r="I597" s="11"/>
      <c r="J597" s="10"/>
    </row>
    <row r="598">
      <c r="G598" s="16"/>
      <c r="I598" s="11"/>
      <c r="J598" s="10"/>
    </row>
    <row r="599">
      <c r="G599" s="16"/>
      <c r="I599" s="11"/>
      <c r="J599" s="10"/>
    </row>
    <row r="600">
      <c r="G600" s="16"/>
      <c r="I600" s="11"/>
      <c r="J600" s="10"/>
    </row>
    <row r="601">
      <c r="G601" s="16"/>
      <c r="I601" s="11"/>
      <c r="J601" s="10"/>
    </row>
    <row r="602">
      <c r="G602" s="16"/>
      <c r="I602" s="11"/>
      <c r="J602" s="10"/>
    </row>
    <row r="603">
      <c r="G603" s="16"/>
      <c r="I603" s="11"/>
      <c r="J603" s="10"/>
    </row>
    <row r="604">
      <c r="G604" s="16"/>
      <c r="I604" s="11"/>
      <c r="J604" s="10"/>
    </row>
    <row r="605">
      <c r="G605" s="16"/>
      <c r="I605" s="11"/>
      <c r="J605" s="10"/>
    </row>
    <row r="606">
      <c r="G606" s="16"/>
      <c r="I606" s="11"/>
      <c r="J606" s="10"/>
    </row>
    <row r="607">
      <c r="G607" s="16"/>
      <c r="I607" s="11"/>
      <c r="J607" s="10"/>
    </row>
    <row r="608">
      <c r="G608" s="16"/>
      <c r="I608" s="11"/>
      <c r="J608" s="10"/>
    </row>
    <row r="609">
      <c r="G609" s="16"/>
      <c r="I609" s="11"/>
      <c r="J609" s="10"/>
    </row>
    <row r="610">
      <c r="G610" s="16"/>
      <c r="I610" s="11"/>
      <c r="J610" s="10"/>
    </row>
    <row r="611">
      <c r="G611" s="16"/>
      <c r="I611" s="11"/>
      <c r="J611" s="10"/>
    </row>
    <row r="612">
      <c r="G612" s="16"/>
      <c r="I612" s="11"/>
      <c r="J612" s="10"/>
    </row>
    <row r="613">
      <c r="G613" s="16"/>
      <c r="I613" s="11"/>
      <c r="J613" s="10"/>
    </row>
    <row r="614">
      <c r="G614" s="16"/>
      <c r="I614" s="11"/>
      <c r="J614" s="10"/>
    </row>
    <row r="615">
      <c r="G615" s="16"/>
      <c r="I615" s="11"/>
      <c r="J615" s="10"/>
    </row>
    <row r="616">
      <c r="G616" s="16"/>
      <c r="I616" s="11"/>
      <c r="J616" s="10"/>
    </row>
    <row r="617">
      <c r="G617" s="16"/>
      <c r="I617" s="11"/>
      <c r="J617" s="10"/>
    </row>
    <row r="618">
      <c r="G618" s="16"/>
      <c r="I618" s="11"/>
      <c r="J618" s="10"/>
    </row>
    <row r="619">
      <c r="G619" s="16"/>
      <c r="I619" s="11"/>
      <c r="J619" s="10"/>
    </row>
    <row r="620">
      <c r="G620" s="16"/>
      <c r="I620" s="11"/>
      <c r="J620" s="10"/>
    </row>
    <row r="621">
      <c r="G621" s="16"/>
      <c r="I621" s="11"/>
      <c r="J621" s="10"/>
    </row>
    <row r="622">
      <c r="G622" s="16"/>
      <c r="I622" s="11"/>
      <c r="J622" s="10"/>
    </row>
    <row r="623">
      <c r="G623" s="16"/>
      <c r="I623" s="11"/>
      <c r="J623" s="10"/>
    </row>
    <row r="624">
      <c r="G624" s="16"/>
      <c r="I624" s="11"/>
      <c r="J624" s="10"/>
    </row>
    <row r="625">
      <c r="G625" s="16"/>
      <c r="I625" s="11"/>
      <c r="J625" s="10"/>
    </row>
    <row r="626">
      <c r="G626" s="16"/>
      <c r="I626" s="11"/>
      <c r="J626" s="10"/>
    </row>
    <row r="627">
      <c r="G627" s="16"/>
      <c r="I627" s="11"/>
      <c r="J627" s="10"/>
    </row>
    <row r="628">
      <c r="G628" s="16"/>
      <c r="I628" s="11"/>
      <c r="J628" s="10"/>
    </row>
    <row r="629">
      <c r="G629" s="16"/>
      <c r="I629" s="11"/>
      <c r="J629" s="10"/>
    </row>
    <row r="630">
      <c r="G630" s="16"/>
      <c r="I630" s="11"/>
      <c r="J630" s="10"/>
    </row>
    <row r="631">
      <c r="G631" s="16"/>
      <c r="I631" s="11"/>
      <c r="J631" s="10"/>
    </row>
    <row r="632">
      <c r="G632" s="16"/>
      <c r="I632" s="11"/>
      <c r="J632" s="10"/>
    </row>
    <row r="633">
      <c r="G633" s="16"/>
      <c r="I633" s="11"/>
      <c r="J633" s="10"/>
    </row>
    <row r="634">
      <c r="G634" s="16"/>
      <c r="I634" s="11"/>
      <c r="J634" s="10"/>
    </row>
    <row r="635">
      <c r="G635" s="16"/>
      <c r="I635" s="11"/>
      <c r="J635" s="10"/>
    </row>
    <row r="636">
      <c r="G636" s="16"/>
      <c r="I636" s="11"/>
      <c r="J636" s="10"/>
    </row>
    <row r="637">
      <c r="G637" s="16"/>
      <c r="I637" s="11"/>
      <c r="J637" s="10"/>
    </row>
    <row r="638">
      <c r="G638" s="16"/>
      <c r="I638" s="11"/>
      <c r="J638" s="10"/>
    </row>
    <row r="639">
      <c r="G639" s="16"/>
      <c r="I639" s="11"/>
      <c r="J639" s="10"/>
    </row>
    <row r="640">
      <c r="G640" s="16"/>
      <c r="I640" s="11"/>
      <c r="J640" s="10"/>
    </row>
    <row r="641">
      <c r="G641" s="16"/>
      <c r="I641" s="11"/>
      <c r="J641" s="10"/>
    </row>
    <row r="642">
      <c r="G642" s="16"/>
      <c r="I642" s="11"/>
      <c r="J642" s="10"/>
    </row>
    <row r="643">
      <c r="G643" s="16"/>
      <c r="I643" s="11"/>
      <c r="J643" s="10"/>
    </row>
    <row r="644">
      <c r="G644" s="16"/>
      <c r="I644" s="11"/>
      <c r="J644" s="10"/>
    </row>
    <row r="645">
      <c r="G645" s="16"/>
      <c r="I645" s="11"/>
      <c r="J645" s="10"/>
    </row>
    <row r="646">
      <c r="G646" s="16"/>
      <c r="I646" s="11"/>
      <c r="J646" s="10"/>
    </row>
    <row r="647">
      <c r="G647" s="16"/>
      <c r="I647" s="11"/>
      <c r="J647" s="10"/>
    </row>
    <row r="648">
      <c r="G648" s="16"/>
      <c r="I648" s="11"/>
      <c r="J648" s="10"/>
    </row>
    <row r="649">
      <c r="G649" s="16"/>
      <c r="I649" s="11"/>
      <c r="J649" s="10"/>
    </row>
    <row r="650">
      <c r="G650" s="16"/>
      <c r="I650" s="11"/>
      <c r="J650" s="10"/>
    </row>
    <row r="651">
      <c r="G651" s="16"/>
      <c r="I651" s="11"/>
      <c r="J651" s="10"/>
    </row>
    <row r="652">
      <c r="G652" s="16"/>
      <c r="I652" s="11"/>
      <c r="J652" s="10"/>
    </row>
    <row r="653">
      <c r="G653" s="16"/>
      <c r="I653" s="11"/>
      <c r="J653" s="10"/>
    </row>
    <row r="654">
      <c r="G654" s="16"/>
      <c r="I654" s="11"/>
      <c r="J654" s="10"/>
    </row>
    <row r="655">
      <c r="G655" s="16"/>
      <c r="I655" s="11"/>
      <c r="J655" s="10"/>
    </row>
    <row r="656">
      <c r="G656" s="16"/>
      <c r="I656" s="11"/>
      <c r="J656" s="10"/>
    </row>
    <row r="657">
      <c r="G657" s="16"/>
      <c r="I657" s="11"/>
      <c r="J657" s="10"/>
    </row>
    <row r="658">
      <c r="G658" s="16"/>
      <c r="I658" s="11"/>
      <c r="J658" s="10"/>
    </row>
    <row r="659">
      <c r="G659" s="16"/>
      <c r="I659" s="11"/>
      <c r="J659" s="10"/>
    </row>
    <row r="660">
      <c r="G660" s="16"/>
      <c r="I660" s="11"/>
      <c r="J660" s="10"/>
    </row>
    <row r="661">
      <c r="G661" s="16"/>
      <c r="I661" s="11"/>
      <c r="J661" s="10"/>
    </row>
    <row r="662">
      <c r="G662" s="16"/>
      <c r="I662" s="11"/>
      <c r="J662" s="10"/>
    </row>
    <row r="663">
      <c r="G663" s="16"/>
      <c r="I663" s="11"/>
      <c r="J663" s="10"/>
    </row>
    <row r="664">
      <c r="G664" s="16"/>
      <c r="I664" s="11"/>
      <c r="J664" s="10"/>
    </row>
    <row r="665">
      <c r="G665" s="16"/>
      <c r="I665" s="11"/>
      <c r="J665" s="10"/>
    </row>
    <row r="666">
      <c r="G666" s="16"/>
      <c r="I666" s="11"/>
      <c r="J666" s="10"/>
    </row>
    <row r="667">
      <c r="G667" s="16"/>
      <c r="I667" s="11"/>
      <c r="J667" s="10"/>
    </row>
    <row r="668">
      <c r="G668" s="16"/>
      <c r="I668" s="11"/>
      <c r="J668" s="10"/>
    </row>
    <row r="669">
      <c r="G669" s="16"/>
      <c r="I669" s="11"/>
      <c r="J669" s="10"/>
    </row>
    <row r="670">
      <c r="G670" s="16"/>
      <c r="I670" s="11"/>
      <c r="J670" s="10"/>
    </row>
    <row r="671">
      <c r="G671" s="16"/>
      <c r="I671" s="11"/>
      <c r="J671" s="10"/>
    </row>
    <row r="672">
      <c r="G672" s="16"/>
      <c r="I672" s="11"/>
      <c r="J672" s="10"/>
    </row>
    <row r="673">
      <c r="G673" s="16"/>
      <c r="I673" s="11"/>
      <c r="J673" s="10"/>
    </row>
    <row r="674">
      <c r="G674" s="16"/>
      <c r="I674" s="11"/>
      <c r="J674" s="10"/>
    </row>
    <row r="675">
      <c r="G675" s="16"/>
      <c r="I675" s="11"/>
      <c r="J675" s="10"/>
    </row>
    <row r="676">
      <c r="G676" s="16"/>
      <c r="I676" s="11"/>
      <c r="J676" s="10"/>
    </row>
    <row r="677">
      <c r="G677" s="16"/>
      <c r="I677" s="11"/>
      <c r="J677" s="10"/>
    </row>
    <row r="678">
      <c r="G678" s="16"/>
      <c r="I678" s="11"/>
      <c r="J678" s="10"/>
    </row>
    <row r="679">
      <c r="G679" s="16"/>
      <c r="I679" s="11"/>
      <c r="J679" s="10"/>
    </row>
    <row r="680">
      <c r="G680" s="16"/>
      <c r="I680" s="11"/>
      <c r="J680" s="10"/>
    </row>
    <row r="681">
      <c r="G681" s="16"/>
      <c r="I681" s="11"/>
      <c r="J681" s="10"/>
    </row>
    <row r="682">
      <c r="G682" s="16"/>
      <c r="I682" s="11"/>
      <c r="J682" s="10"/>
    </row>
    <row r="683">
      <c r="G683" s="16"/>
      <c r="I683" s="11"/>
      <c r="J683" s="10"/>
    </row>
    <row r="684">
      <c r="G684" s="16"/>
      <c r="I684" s="11"/>
      <c r="J684" s="10"/>
    </row>
    <row r="685">
      <c r="G685" s="16"/>
      <c r="I685" s="11"/>
      <c r="J685" s="10"/>
    </row>
    <row r="686">
      <c r="G686" s="16"/>
      <c r="I686" s="11"/>
      <c r="J686" s="10"/>
    </row>
    <row r="687">
      <c r="G687" s="16"/>
      <c r="I687" s="11"/>
      <c r="J687" s="10"/>
    </row>
    <row r="688">
      <c r="G688" s="16"/>
      <c r="I688" s="11"/>
      <c r="J688" s="10"/>
    </row>
    <row r="689">
      <c r="G689" s="16"/>
      <c r="I689" s="11"/>
      <c r="J689" s="10"/>
    </row>
    <row r="690">
      <c r="G690" s="16"/>
      <c r="I690" s="11"/>
      <c r="J690" s="10"/>
    </row>
    <row r="691">
      <c r="G691" s="16"/>
      <c r="I691" s="11"/>
      <c r="J691" s="10"/>
    </row>
    <row r="692">
      <c r="G692" s="16"/>
      <c r="I692" s="11"/>
      <c r="J692" s="10"/>
    </row>
    <row r="693">
      <c r="G693" s="16"/>
      <c r="I693" s="11"/>
      <c r="J693" s="10"/>
    </row>
    <row r="694">
      <c r="G694" s="16"/>
      <c r="I694" s="11"/>
      <c r="J694" s="10"/>
    </row>
    <row r="695">
      <c r="G695" s="16"/>
      <c r="I695" s="11"/>
      <c r="J695" s="10"/>
    </row>
    <row r="696">
      <c r="G696" s="16"/>
      <c r="I696" s="11"/>
      <c r="J696" s="10"/>
    </row>
    <row r="697">
      <c r="G697" s="16"/>
      <c r="I697" s="11"/>
      <c r="J697" s="10"/>
    </row>
    <row r="698">
      <c r="G698" s="16"/>
      <c r="I698" s="11"/>
      <c r="J698" s="10"/>
    </row>
    <row r="699">
      <c r="G699" s="16"/>
      <c r="I699" s="11"/>
      <c r="J699" s="10"/>
    </row>
    <row r="700">
      <c r="G700" s="16"/>
      <c r="I700" s="11"/>
      <c r="J700" s="10"/>
    </row>
    <row r="701">
      <c r="G701" s="16"/>
      <c r="I701" s="11"/>
      <c r="J701" s="10"/>
    </row>
    <row r="702">
      <c r="G702" s="16"/>
      <c r="I702" s="11"/>
      <c r="J702" s="10"/>
    </row>
    <row r="703">
      <c r="G703" s="16"/>
      <c r="I703" s="11"/>
      <c r="J703" s="10"/>
    </row>
    <row r="704">
      <c r="G704" s="16"/>
      <c r="I704" s="11"/>
      <c r="J704" s="10"/>
    </row>
    <row r="705">
      <c r="G705" s="16"/>
      <c r="I705" s="11"/>
      <c r="J705" s="10"/>
    </row>
    <row r="706">
      <c r="G706" s="16"/>
      <c r="I706" s="11"/>
      <c r="J706" s="10"/>
    </row>
    <row r="707">
      <c r="G707" s="16"/>
      <c r="I707" s="11"/>
      <c r="J707" s="10"/>
    </row>
    <row r="708">
      <c r="G708" s="16"/>
      <c r="I708" s="11"/>
      <c r="J708" s="10"/>
    </row>
    <row r="709">
      <c r="G709" s="16"/>
      <c r="I709" s="11"/>
      <c r="J709" s="10"/>
    </row>
    <row r="710">
      <c r="G710" s="16"/>
      <c r="I710" s="11"/>
      <c r="J710" s="10"/>
    </row>
    <row r="711">
      <c r="G711" s="16"/>
      <c r="I711" s="11"/>
      <c r="J711" s="10"/>
    </row>
    <row r="712">
      <c r="G712" s="16"/>
      <c r="I712" s="11"/>
      <c r="J712" s="10"/>
    </row>
    <row r="713">
      <c r="G713" s="16"/>
      <c r="I713" s="11"/>
      <c r="J713" s="10"/>
    </row>
    <row r="714">
      <c r="G714" s="16"/>
      <c r="I714" s="11"/>
      <c r="J714" s="10"/>
    </row>
    <row r="715">
      <c r="G715" s="16"/>
      <c r="I715" s="11"/>
      <c r="J715" s="10"/>
    </row>
    <row r="716">
      <c r="G716" s="16"/>
      <c r="I716" s="11"/>
      <c r="J716" s="10"/>
    </row>
    <row r="717">
      <c r="G717" s="16"/>
      <c r="I717" s="11"/>
      <c r="J717" s="10"/>
    </row>
    <row r="718">
      <c r="G718" s="16"/>
      <c r="I718" s="11"/>
      <c r="J718" s="10"/>
    </row>
    <row r="719">
      <c r="G719" s="16"/>
      <c r="I719" s="11"/>
      <c r="J719" s="10"/>
    </row>
    <row r="720">
      <c r="G720" s="16"/>
      <c r="I720" s="11"/>
      <c r="J720" s="10"/>
    </row>
    <row r="721">
      <c r="G721" s="16"/>
      <c r="I721" s="11"/>
      <c r="J721" s="10"/>
    </row>
    <row r="722">
      <c r="G722" s="16"/>
      <c r="I722" s="11"/>
      <c r="J722" s="10"/>
    </row>
    <row r="723">
      <c r="G723" s="16"/>
      <c r="I723" s="11"/>
      <c r="J723" s="10"/>
    </row>
    <row r="724">
      <c r="G724" s="16"/>
      <c r="I724" s="11"/>
      <c r="J724" s="10"/>
    </row>
    <row r="725">
      <c r="G725" s="16"/>
      <c r="I725" s="11"/>
      <c r="J725" s="10"/>
    </row>
    <row r="726">
      <c r="G726" s="16"/>
      <c r="I726" s="11"/>
      <c r="J726" s="10"/>
    </row>
    <row r="727">
      <c r="G727" s="16"/>
      <c r="I727" s="11"/>
      <c r="J727" s="10"/>
    </row>
    <row r="728">
      <c r="G728" s="16"/>
      <c r="I728" s="11"/>
      <c r="J728" s="10"/>
    </row>
    <row r="729">
      <c r="G729" s="16"/>
      <c r="I729" s="11"/>
      <c r="J729" s="10"/>
    </row>
    <row r="730">
      <c r="G730" s="16"/>
      <c r="I730" s="11"/>
      <c r="J730" s="10"/>
    </row>
    <row r="731">
      <c r="G731" s="16"/>
      <c r="I731" s="11"/>
      <c r="J731" s="10"/>
    </row>
    <row r="732">
      <c r="G732" s="16"/>
      <c r="I732" s="11"/>
      <c r="J732" s="10"/>
    </row>
    <row r="733">
      <c r="G733" s="16"/>
      <c r="I733" s="11"/>
      <c r="J733" s="10"/>
    </row>
    <row r="734">
      <c r="G734" s="16"/>
      <c r="I734" s="11"/>
      <c r="J734" s="10"/>
    </row>
    <row r="735">
      <c r="G735" s="16"/>
      <c r="I735" s="11"/>
      <c r="J735" s="10"/>
    </row>
    <row r="736">
      <c r="G736" s="16"/>
      <c r="I736" s="11"/>
      <c r="J736" s="10"/>
    </row>
    <row r="737">
      <c r="G737" s="16"/>
      <c r="I737" s="11"/>
      <c r="J737" s="10"/>
    </row>
    <row r="738">
      <c r="G738" s="16"/>
      <c r="I738" s="11"/>
      <c r="J738" s="10"/>
    </row>
    <row r="739">
      <c r="G739" s="16"/>
      <c r="I739" s="11"/>
      <c r="J739" s="10"/>
    </row>
    <row r="740">
      <c r="G740" s="16"/>
      <c r="I740" s="11"/>
      <c r="J740" s="10"/>
    </row>
    <row r="741">
      <c r="G741" s="16"/>
      <c r="I741" s="11"/>
      <c r="J741" s="10"/>
    </row>
    <row r="742">
      <c r="G742" s="16"/>
      <c r="I742" s="11"/>
      <c r="J742" s="10"/>
    </row>
    <row r="743">
      <c r="G743" s="16"/>
      <c r="I743" s="11"/>
      <c r="J743" s="10"/>
    </row>
    <row r="744">
      <c r="G744" s="16"/>
      <c r="I744" s="11"/>
      <c r="J744" s="10"/>
    </row>
    <row r="745">
      <c r="G745" s="16"/>
      <c r="I745" s="11"/>
      <c r="J745" s="10"/>
    </row>
    <row r="746">
      <c r="G746" s="16"/>
      <c r="I746" s="11"/>
      <c r="J746" s="10"/>
    </row>
    <row r="747">
      <c r="G747" s="16"/>
      <c r="I747" s="11"/>
      <c r="J747" s="10"/>
    </row>
    <row r="748">
      <c r="G748" s="16"/>
      <c r="I748" s="11"/>
      <c r="J748" s="10"/>
    </row>
    <row r="749">
      <c r="G749" s="16"/>
      <c r="I749" s="11"/>
      <c r="J749" s="10"/>
    </row>
    <row r="750">
      <c r="G750" s="16"/>
      <c r="I750" s="11"/>
      <c r="J750" s="10"/>
    </row>
    <row r="751">
      <c r="G751" s="16"/>
      <c r="I751" s="11"/>
      <c r="J751" s="10"/>
    </row>
    <row r="752">
      <c r="G752" s="16"/>
      <c r="I752" s="11"/>
      <c r="J752" s="10"/>
    </row>
    <row r="753">
      <c r="G753" s="16"/>
      <c r="I753" s="11"/>
      <c r="J753" s="10"/>
    </row>
    <row r="754">
      <c r="G754" s="16"/>
      <c r="I754" s="11"/>
      <c r="J754" s="10"/>
    </row>
    <row r="755">
      <c r="G755" s="16"/>
      <c r="I755" s="11"/>
      <c r="J755" s="10"/>
    </row>
    <row r="756">
      <c r="G756" s="16"/>
      <c r="I756" s="11"/>
      <c r="J756" s="10"/>
    </row>
    <row r="757">
      <c r="G757" s="16"/>
      <c r="I757" s="11"/>
      <c r="J757" s="10"/>
    </row>
    <row r="758">
      <c r="G758" s="16"/>
      <c r="I758" s="11"/>
      <c r="J758" s="10"/>
    </row>
    <row r="759">
      <c r="G759" s="16"/>
      <c r="I759" s="11"/>
      <c r="J759" s="10"/>
    </row>
    <row r="760">
      <c r="G760" s="16"/>
      <c r="I760" s="11"/>
      <c r="J760" s="10"/>
    </row>
    <row r="761">
      <c r="G761" s="16"/>
      <c r="I761" s="11"/>
      <c r="J761" s="10"/>
    </row>
    <row r="762">
      <c r="G762" s="16"/>
      <c r="I762" s="11"/>
      <c r="J762" s="10"/>
    </row>
    <row r="763">
      <c r="G763" s="16"/>
      <c r="I763" s="11"/>
      <c r="J763" s="10"/>
    </row>
    <row r="764">
      <c r="G764" s="16"/>
      <c r="I764" s="11"/>
      <c r="J764" s="10"/>
    </row>
    <row r="765">
      <c r="G765" s="16"/>
      <c r="I765" s="11"/>
      <c r="J765" s="10"/>
    </row>
    <row r="766">
      <c r="G766" s="16"/>
      <c r="I766" s="11"/>
      <c r="J766" s="10"/>
    </row>
    <row r="767">
      <c r="G767" s="16"/>
      <c r="I767" s="11"/>
      <c r="J767" s="10"/>
    </row>
    <row r="768">
      <c r="G768" s="16"/>
      <c r="I768" s="11"/>
      <c r="J768" s="10"/>
    </row>
    <row r="769">
      <c r="G769" s="16"/>
      <c r="I769" s="11"/>
      <c r="J769" s="10"/>
    </row>
    <row r="770">
      <c r="G770" s="16"/>
      <c r="I770" s="11"/>
      <c r="J770" s="10"/>
    </row>
    <row r="771">
      <c r="G771" s="16"/>
      <c r="I771" s="11"/>
      <c r="J771" s="10"/>
    </row>
    <row r="772">
      <c r="G772" s="16"/>
      <c r="I772" s="11"/>
      <c r="J772" s="10"/>
    </row>
    <row r="773">
      <c r="G773" s="16"/>
      <c r="I773" s="11"/>
      <c r="J773" s="10"/>
    </row>
    <row r="774">
      <c r="G774" s="16"/>
      <c r="I774" s="11"/>
      <c r="J774" s="10"/>
    </row>
    <row r="775">
      <c r="G775" s="16"/>
      <c r="I775" s="11"/>
      <c r="J775" s="10"/>
    </row>
    <row r="776">
      <c r="G776" s="16"/>
      <c r="I776" s="11"/>
      <c r="J776" s="10"/>
    </row>
    <row r="777">
      <c r="G777" s="16"/>
      <c r="I777" s="11"/>
      <c r="J777" s="10"/>
    </row>
    <row r="778">
      <c r="G778" s="16"/>
      <c r="I778" s="11"/>
      <c r="J778" s="10"/>
    </row>
    <row r="779">
      <c r="G779" s="16"/>
      <c r="I779" s="11"/>
      <c r="J779" s="10"/>
    </row>
    <row r="780">
      <c r="G780" s="16"/>
      <c r="I780" s="11"/>
      <c r="J780" s="10"/>
    </row>
    <row r="781">
      <c r="G781" s="16"/>
      <c r="I781" s="11"/>
      <c r="J781" s="10"/>
    </row>
    <row r="782">
      <c r="G782" s="16"/>
      <c r="I782" s="11"/>
      <c r="J782" s="10"/>
    </row>
    <row r="783">
      <c r="G783" s="16"/>
      <c r="I783" s="11"/>
      <c r="J783" s="10"/>
    </row>
    <row r="784">
      <c r="G784" s="16"/>
      <c r="I784" s="11"/>
      <c r="J784" s="10"/>
    </row>
    <row r="785">
      <c r="G785" s="16"/>
      <c r="I785" s="11"/>
      <c r="J785" s="10"/>
    </row>
    <row r="786">
      <c r="G786" s="16"/>
      <c r="I786" s="11"/>
      <c r="J786" s="10"/>
    </row>
    <row r="787">
      <c r="G787" s="16"/>
      <c r="I787" s="11"/>
      <c r="J787" s="10"/>
    </row>
    <row r="788">
      <c r="G788" s="16"/>
      <c r="I788" s="11"/>
      <c r="J788" s="10"/>
    </row>
    <row r="789">
      <c r="G789" s="16"/>
      <c r="I789" s="11"/>
      <c r="J789" s="10"/>
    </row>
    <row r="790">
      <c r="G790" s="16"/>
      <c r="I790" s="11"/>
      <c r="J790" s="10"/>
    </row>
    <row r="791">
      <c r="G791" s="16"/>
      <c r="I791" s="11"/>
      <c r="J791" s="10"/>
    </row>
    <row r="792">
      <c r="G792" s="16"/>
      <c r="I792" s="11"/>
      <c r="J792" s="10"/>
    </row>
    <row r="793">
      <c r="G793" s="16"/>
      <c r="I793" s="11"/>
      <c r="J793" s="10"/>
    </row>
    <row r="794">
      <c r="G794" s="16"/>
      <c r="I794" s="11"/>
      <c r="J794" s="10"/>
    </row>
    <row r="795">
      <c r="G795" s="16"/>
      <c r="I795" s="11"/>
      <c r="J795" s="10"/>
    </row>
    <row r="796">
      <c r="G796" s="16"/>
      <c r="I796" s="11"/>
      <c r="J796" s="10"/>
    </row>
    <row r="797">
      <c r="G797" s="16"/>
      <c r="I797" s="11"/>
      <c r="J797" s="10"/>
    </row>
    <row r="798">
      <c r="G798" s="16"/>
      <c r="I798" s="11"/>
      <c r="J798" s="10"/>
    </row>
    <row r="799">
      <c r="G799" s="16"/>
      <c r="I799" s="11"/>
      <c r="J799" s="10"/>
    </row>
    <row r="800">
      <c r="G800" s="16"/>
      <c r="I800" s="11"/>
      <c r="J800" s="10"/>
    </row>
    <row r="801">
      <c r="G801" s="16"/>
      <c r="I801" s="11"/>
      <c r="J801" s="10"/>
    </row>
    <row r="802">
      <c r="G802" s="16"/>
      <c r="I802" s="11"/>
      <c r="J802" s="10"/>
    </row>
    <row r="803">
      <c r="G803" s="16"/>
      <c r="I803" s="11"/>
      <c r="J803" s="10"/>
    </row>
    <row r="804">
      <c r="G804" s="16"/>
      <c r="I804" s="11"/>
      <c r="J804" s="10"/>
    </row>
    <row r="805">
      <c r="G805" s="16"/>
      <c r="I805" s="11"/>
      <c r="J805" s="10"/>
    </row>
    <row r="806">
      <c r="G806" s="16"/>
      <c r="I806" s="11"/>
      <c r="J806" s="10"/>
    </row>
    <row r="807">
      <c r="G807" s="16"/>
      <c r="I807" s="11"/>
      <c r="J807" s="10"/>
    </row>
    <row r="808">
      <c r="G808" s="16"/>
      <c r="I808" s="11"/>
      <c r="J808" s="10"/>
    </row>
    <row r="809">
      <c r="G809" s="16"/>
      <c r="I809" s="11"/>
      <c r="J809" s="10"/>
    </row>
    <row r="810">
      <c r="G810" s="16"/>
      <c r="I810" s="11"/>
      <c r="J810" s="10"/>
    </row>
    <row r="811">
      <c r="G811" s="16"/>
      <c r="I811" s="11"/>
      <c r="J811" s="10"/>
    </row>
    <row r="812">
      <c r="G812" s="16"/>
      <c r="I812" s="11"/>
      <c r="J812" s="10"/>
    </row>
    <row r="813">
      <c r="G813" s="16"/>
      <c r="I813" s="11"/>
      <c r="J813" s="10"/>
    </row>
    <row r="814">
      <c r="G814" s="16"/>
      <c r="I814" s="11"/>
      <c r="J814" s="10"/>
    </row>
    <row r="815">
      <c r="G815" s="16"/>
      <c r="I815" s="11"/>
      <c r="J815" s="10"/>
    </row>
    <row r="816">
      <c r="G816" s="16"/>
      <c r="I816" s="11"/>
      <c r="J816" s="10"/>
    </row>
    <row r="817">
      <c r="G817" s="16"/>
      <c r="I817" s="11"/>
      <c r="J817" s="10"/>
    </row>
    <row r="818">
      <c r="G818" s="16"/>
      <c r="I818" s="11"/>
      <c r="J818" s="10"/>
    </row>
    <row r="819">
      <c r="G819" s="16"/>
      <c r="I819" s="11"/>
      <c r="J819" s="10"/>
    </row>
    <row r="820">
      <c r="G820" s="16"/>
      <c r="I820" s="11"/>
      <c r="J820" s="10"/>
    </row>
    <row r="821">
      <c r="G821" s="16"/>
      <c r="I821" s="11"/>
      <c r="J821" s="10"/>
    </row>
    <row r="822">
      <c r="G822" s="16"/>
      <c r="I822" s="11"/>
      <c r="J822" s="10"/>
    </row>
    <row r="823">
      <c r="G823" s="16"/>
      <c r="I823" s="11"/>
      <c r="J823" s="10"/>
    </row>
    <row r="824">
      <c r="G824" s="16"/>
      <c r="I824" s="11"/>
      <c r="J824" s="10"/>
    </row>
    <row r="825">
      <c r="G825" s="16"/>
      <c r="I825" s="11"/>
      <c r="J825" s="10"/>
    </row>
    <row r="826">
      <c r="G826" s="16"/>
      <c r="I826" s="11"/>
      <c r="J826" s="10"/>
    </row>
    <row r="827">
      <c r="G827" s="16"/>
      <c r="I827" s="11"/>
      <c r="J827" s="10"/>
    </row>
    <row r="828">
      <c r="G828" s="16"/>
      <c r="I828" s="11"/>
      <c r="J828" s="10"/>
    </row>
    <row r="829">
      <c r="G829" s="16"/>
      <c r="I829" s="11"/>
      <c r="J829" s="10"/>
    </row>
    <row r="830">
      <c r="G830" s="16"/>
      <c r="I830" s="11"/>
      <c r="J830" s="10"/>
    </row>
    <row r="831">
      <c r="G831" s="16"/>
      <c r="I831" s="11"/>
      <c r="J831" s="10"/>
    </row>
    <row r="832">
      <c r="G832" s="16"/>
      <c r="I832" s="11"/>
      <c r="J832" s="10"/>
    </row>
    <row r="833">
      <c r="G833" s="16"/>
      <c r="I833" s="11"/>
      <c r="J833" s="10"/>
    </row>
    <row r="834">
      <c r="G834" s="16"/>
      <c r="I834" s="11"/>
      <c r="J834" s="10"/>
    </row>
    <row r="835">
      <c r="G835" s="16"/>
      <c r="I835" s="11"/>
      <c r="J835" s="10"/>
    </row>
    <row r="836">
      <c r="G836" s="16"/>
      <c r="I836" s="11"/>
      <c r="J836" s="10"/>
    </row>
    <row r="837">
      <c r="G837" s="16"/>
      <c r="I837" s="11"/>
      <c r="J837" s="10"/>
    </row>
    <row r="838">
      <c r="G838" s="16"/>
      <c r="I838" s="11"/>
      <c r="J838" s="10"/>
    </row>
    <row r="839">
      <c r="G839" s="16"/>
      <c r="I839" s="11"/>
      <c r="J839" s="10"/>
    </row>
    <row r="840">
      <c r="G840" s="16"/>
      <c r="I840" s="11"/>
      <c r="J840" s="10"/>
    </row>
    <row r="841">
      <c r="G841" s="16"/>
      <c r="I841" s="11"/>
      <c r="J841" s="10"/>
    </row>
    <row r="842">
      <c r="G842" s="16"/>
      <c r="I842" s="11"/>
      <c r="J842" s="10"/>
    </row>
    <row r="843">
      <c r="G843" s="16"/>
      <c r="I843" s="11"/>
      <c r="J843" s="10"/>
    </row>
    <row r="844">
      <c r="G844" s="16"/>
      <c r="I844" s="11"/>
      <c r="J844" s="10"/>
    </row>
    <row r="845">
      <c r="G845" s="16"/>
      <c r="I845" s="11"/>
      <c r="J845" s="10"/>
    </row>
    <row r="846">
      <c r="G846" s="16"/>
      <c r="I846" s="11"/>
      <c r="J846" s="10"/>
    </row>
    <row r="847">
      <c r="G847" s="16"/>
      <c r="I847" s="11"/>
      <c r="J847" s="10"/>
    </row>
    <row r="848">
      <c r="G848" s="16"/>
      <c r="I848" s="11"/>
      <c r="J848" s="10"/>
    </row>
    <row r="849">
      <c r="G849" s="16"/>
      <c r="I849" s="11"/>
      <c r="J849" s="10"/>
    </row>
    <row r="850">
      <c r="G850" s="16"/>
      <c r="I850" s="11"/>
      <c r="J850" s="10"/>
    </row>
    <row r="851">
      <c r="G851" s="16"/>
      <c r="I851" s="11"/>
      <c r="J851" s="10"/>
    </row>
    <row r="852">
      <c r="G852" s="16"/>
      <c r="I852" s="11"/>
      <c r="J852" s="10"/>
    </row>
    <row r="853">
      <c r="G853" s="16"/>
      <c r="I853" s="11"/>
      <c r="J853" s="10"/>
    </row>
    <row r="854">
      <c r="G854" s="16"/>
      <c r="I854" s="11"/>
      <c r="J854" s="10"/>
    </row>
    <row r="855">
      <c r="G855" s="16"/>
      <c r="I855" s="11"/>
      <c r="J855" s="10"/>
    </row>
    <row r="856">
      <c r="G856" s="16"/>
      <c r="I856" s="11"/>
      <c r="J856" s="10"/>
    </row>
    <row r="857">
      <c r="G857" s="16"/>
      <c r="I857" s="11"/>
      <c r="J857" s="10"/>
    </row>
    <row r="858">
      <c r="G858" s="16"/>
      <c r="I858" s="11"/>
      <c r="J858" s="10"/>
    </row>
    <row r="859">
      <c r="G859" s="16"/>
      <c r="I859" s="11"/>
      <c r="J859" s="10"/>
    </row>
    <row r="860">
      <c r="G860" s="16"/>
      <c r="I860" s="11"/>
      <c r="J860" s="10"/>
    </row>
    <row r="861">
      <c r="G861" s="16"/>
      <c r="I861" s="11"/>
      <c r="J861" s="10"/>
    </row>
    <row r="862">
      <c r="G862" s="16"/>
      <c r="I862" s="11"/>
      <c r="J862" s="10"/>
    </row>
    <row r="863">
      <c r="G863" s="16"/>
      <c r="I863" s="11"/>
      <c r="J863" s="10"/>
    </row>
    <row r="864">
      <c r="G864" s="16"/>
      <c r="I864" s="11"/>
      <c r="J864" s="10"/>
    </row>
    <row r="865">
      <c r="G865" s="16"/>
      <c r="I865" s="11"/>
      <c r="J865" s="10"/>
    </row>
    <row r="866">
      <c r="G866" s="16"/>
      <c r="I866" s="11"/>
      <c r="J866" s="10"/>
    </row>
    <row r="867">
      <c r="G867" s="16"/>
      <c r="I867" s="11"/>
      <c r="J867" s="10"/>
    </row>
    <row r="868">
      <c r="G868" s="16"/>
      <c r="I868" s="11"/>
      <c r="J868" s="10"/>
    </row>
    <row r="869">
      <c r="G869" s="16"/>
      <c r="I869" s="11"/>
      <c r="J869" s="10"/>
    </row>
    <row r="870">
      <c r="G870" s="16"/>
      <c r="I870" s="11"/>
      <c r="J870" s="10"/>
    </row>
    <row r="871">
      <c r="G871" s="16"/>
      <c r="I871" s="11"/>
      <c r="J871" s="10"/>
    </row>
    <row r="872">
      <c r="G872" s="16"/>
      <c r="I872" s="11"/>
      <c r="J872" s="10"/>
    </row>
    <row r="873">
      <c r="G873" s="16"/>
      <c r="I873" s="11"/>
      <c r="J873" s="10"/>
    </row>
    <row r="874">
      <c r="G874" s="16"/>
      <c r="I874" s="11"/>
      <c r="J874" s="10"/>
    </row>
    <row r="875">
      <c r="G875" s="16"/>
      <c r="I875" s="11"/>
      <c r="J875" s="10"/>
    </row>
    <row r="876">
      <c r="G876" s="16"/>
      <c r="I876" s="11"/>
      <c r="J876" s="10"/>
    </row>
    <row r="877">
      <c r="G877" s="16"/>
      <c r="I877" s="11"/>
      <c r="J877" s="10"/>
    </row>
    <row r="878">
      <c r="G878" s="16"/>
      <c r="I878" s="11"/>
      <c r="J878" s="10"/>
    </row>
    <row r="879">
      <c r="G879" s="16"/>
      <c r="I879" s="11"/>
      <c r="J879" s="10"/>
    </row>
    <row r="880">
      <c r="G880" s="16"/>
      <c r="I880" s="11"/>
      <c r="J880" s="10"/>
    </row>
    <row r="881">
      <c r="G881" s="16"/>
      <c r="I881" s="11"/>
      <c r="J881" s="10"/>
    </row>
    <row r="882">
      <c r="G882" s="16"/>
      <c r="I882" s="11"/>
      <c r="J882" s="10"/>
    </row>
    <row r="883">
      <c r="G883" s="16"/>
      <c r="I883" s="11"/>
      <c r="J883" s="10"/>
    </row>
    <row r="884">
      <c r="G884" s="16"/>
      <c r="I884" s="11"/>
      <c r="J884" s="10"/>
    </row>
    <row r="885">
      <c r="G885" s="16"/>
      <c r="I885" s="11"/>
      <c r="J885" s="10"/>
    </row>
    <row r="886">
      <c r="G886" s="16"/>
      <c r="I886" s="11"/>
      <c r="J886" s="10"/>
    </row>
    <row r="887">
      <c r="G887" s="16"/>
      <c r="I887" s="11"/>
      <c r="J887" s="10"/>
    </row>
    <row r="888">
      <c r="G888" s="16"/>
      <c r="I888" s="11"/>
      <c r="J888" s="10"/>
    </row>
    <row r="889">
      <c r="G889" s="16"/>
      <c r="I889" s="11"/>
      <c r="J889" s="10"/>
    </row>
    <row r="890">
      <c r="G890" s="16"/>
      <c r="I890" s="11"/>
      <c r="J890" s="10"/>
    </row>
    <row r="891">
      <c r="G891" s="16"/>
      <c r="I891" s="11"/>
      <c r="J891" s="10"/>
    </row>
    <row r="892">
      <c r="G892" s="16"/>
      <c r="I892" s="11"/>
      <c r="J892" s="10"/>
    </row>
    <row r="893">
      <c r="G893" s="16"/>
      <c r="I893" s="11"/>
      <c r="J893" s="10"/>
    </row>
    <row r="894">
      <c r="G894" s="16"/>
      <c r="I894" s="11"/>
      <c r="J894" s="10"/>
    </row>
    <row r="895">
      <c r="G895" s="16"/>
      <c r="I895" s="11"/>
      <c r="J895" s="10"/>
    </row>
    <row r="896">
      <c r="G896" s="16"/>
      <c r="I896" s="11"/>
      <c r="J896" s="10"/>
    </row>
    <row r="897">
      <c r="G897" s="16"/>
      <c r="I897" s="11"/>
      <c r="J897" s="10"/>
    </row>
    <row r="898">
      <c r="G898" s="16"/>
      <c r="I898" s="11"/>
      <c r="J898" s="10"/>
    </row>
    <row r="899">
      <c r="G899" s="16"/>
      <c r="I899" s="11"/>
      <c r="J899" s="10"/>
    </row>
    <row r="900">
      <c r="G900" s="16"/>
      <c r="I900" s="11"/>
      <c r="J900" s="10"/>
    </row>
    <row r="901">
      <c r="G901" s="16"/>
      <c r="I901" s="11"/>
      <c r="J901" s="10"/>
    </row>
    <row r="902">
      <c r="G902" s="16"/>
      <c r="I902" s="11"/>
      <c r="J902" s="10"/>
    </row>
    <row r="903">
      <c r="G903" s="16"/>
      <c r="I903" s="11"/>
      <c r="J903" s="10"/>
    </row>
    <row r="904">
      <c r="G904" s="16"/>
      <c r="I904" s="11"/>
      <c r="J904" s="10"/>
    </row>
    <row r="905">
      <c r="G905" s="16"/>
      <c r="I905" s="11"/>
      <c r="J905" s="10"/>
    </row>
    <row r="906">
      <c r="G906" s="16"/>
      <c r="I906" s="11"/>
      <c r="J906" s="10"/>
    </row>
    <row r="907">
      <c r="G907" s="16"/>
      <c r="I907" s="11"/>
      <c r="J907" s="10"/>
    </row>
    <row r="908">
      <c r="G908" s="16"/>
      <c r="I908" s="11"/>
      <c r="J908" s="10"/>
    </row>
    <row r="909">
      <c r="G909" s="16"/>
      <c r="I909" s="11"/>
      <c r="J909" s="10"/>
    </row>
    <row r="910">
      <c r="G910" s="16"/>
      <c r="I910" s="11"/>
      <c r="J910" s="10"/>
    </row>
    <row r="911">
      <c r="G911" s="16"/>
      <c r="I911" s="11"/>
      <c r="J911" s="10"/>
    </row>
    <row r="912">
      <c r="G912" s="16"/>
      <c r="I912" s="11"/>
      <c r="J912" s="10"/>
    </row>
    <row r="913">
      <c r="G913" s="16"/>
      <c r="I913" s="11"/>
      <c r="J913" s="10"/>
    </row>
    <row r="914">
      <c r="G914" s="16"/>
      <c r="I914" s="11"/>
      <c r="J914" s="10"/>
    </row>
    <row r="915">
      <c r="G915" s="16"/>
      <c r="I915" s="11"/>
      <c r="J915" s="10"/>
    </row>
    <row r="916">
      <c r="G916" s="16"/>
      <c r="I916" s="11"/>
      <c r="J916" s="10"/>
    </row>
    <row r="917">
      <c r="G917" s="16"/>
      <c r="I917" s="11"/>
      <c r="J917" s="10"/>
    </row>
    <row r="918">
      <c r="G918" s="16"/>
      <c r="I918" s="11"/>
      <c r="J918" s="10"/>
    </row>
    <row r="919">
      <c r="G919" s="16"/>
      <c r="I919" s="11"/>
      <c r="J919" s="10"/>
    </row>
    <row r="920">
      <c r="G920" s="16"/>
      <c r="I920" s="11"/>
      <c r="J920" s="10"/>
    </row>
    <row r="921">
      <c r="G921" s="16"/>
      <c r="I921" s="11"/>
      <c r="J921" s="10"/>
    </row>
    <row r="922">
      <c r="G922" s="16"/>
      <c r="I922" s="11"/>
      <c r="J922" s="10"/>
    </row>
    <row r="923">
      <c r="G923" s="16"/>
      <c r="I923" s="11"/>
      <c r="J923" s="10"/>
    </row>
    <row r="924">
      <c r="G924" s="16"/>
      <c r="I924" s="11"/>
      <c r="J924" s="10"/>
    </row>
    <row r="925">
      <c r="G925" s="16"/>
      <c r="I925" s="11"/>
      <c r="J925" s="10"/>
    </row>
    <row r="926">
      <c r="G926" s="16"/>
      <c r="I926" s="11"/>
      <c r="J926" s="10"/>
    </row>
    <row r="927">
      <c r="G927" s="16"/>
      <c r="I927" s="11"/>
      <c r="J927" s="10"/>
    </row>
    <row r="928">
      <c r="G928" s="16"/>
      <c r="I928" s="11"/>
      <c r="J928" s="10"/>
    </row>
    <row r="929">
      <c r="G929" s="16"/>
      <c r="I929" s="11"/>
      <c r="J929" s="10"/>
    </row>
    <row r="930">
      <c r="G930" s="16"/>
      <c r="I930" s="11"/>
      <c r="J930" s="10"/>
    </row>
    <row r="931">
      <c r="G931" s="16"/>
      <c r="I931" s="11"/>
      <c r="J931" s="10"/>
    </row>
    <row r="932">
      <c r="G932" s="16"/>
      <c r="I932" s="11"/>
      <c r="J932" s="10"/>
    </row>
    <row r="933">
      <c r="G933" s="16"/>
      <c r="I933" s="11"/>
      <c r="J933" s="10"/>
    </row>
    <row r="934">
      <c r="G934" s="16"/>
      <c r="I934" s="11"/>
      <c r="J934" s="10"/>
    </row>
    <row r="935">
      <c r="G935" s="16"/>
      <c r="I935" s="11"/>
      <c r="J935" s="10"/>
    </row>
    <row r="936">
      <c r="G936" s="16"/>
      <c r="I936" s="11"/>
      <c r="J936" s="10"/>
    </row>
    <row r="937">
      <c r="G937" s="16"/>
      <c r="I937" s="11"/>
      <c r="J937" s="10"/>
    </row>
    <row r="938">
      <c r="G938" s="16"/>
      <c r="I938" s="11"/>
      <c r="J938" s="10"/>
    </row>
    <row r="939">
      <c r="G939" s="16"/>
      <c r="I939" s="11"/>
      <c r="J939" s="10"/>
    </row>
    <row r="940">
      <c r="G940" s="16"/>
      <c r="I940" s="11"/>
      <c r="J940" s="10"/>
    </row>
    <row r="941">
      <c r="G941" s="16"/>
      <c r="I941" s="11"/>
      <c r="J941" s="10"/>
    </row>
    <row r="942">
      <c r="G942" s="16"/>
      <c r="I942" s="11"/>
      <c r="J942" s="10"/>
    </row>
    <row r="943">
      <c r="G943" s="16"/>
      <c r="I943" s="11"/>
      <c r="J943" s="10"/>
    </row>
    <row r="944">
      <c r="G944" s="16"/>
      <c r="I944" s="11"/>
      <c r="J944" s="10"/>
    </row>
    <row r="945">
      <c r="G945" s="16"/>
      <c r="I945" s="11"/>
      <c r="J945" s="10"/>
    </row>
    <row r="946">
      <c r="G946" s="16"/>
      <c r="I946" s="11"/>
      <c r="J946" s="10"/>
    </row>
    <row r="947">
      <c r="G947" s="16"/>
      <c r="I947" s="11"/>
      <c r="J947" s="10"/>
    </row>
    <row r="948">
      <c r="G948" s="16"/>
      <c r="I948" s="11"/>
      <c r="J948" s="10"/>
    </row>
    <row r="949">
      <c r="G949" s="16"/>
      <c r="I949" s="11"/>
      <c r="J949" s="10"/>
    </row>
    <row r="950">
      <c r="G950" s="16"/>
      <c r="I950" s="11"/>
      <c r="J950" s="10"/>
    </row>
    <row r="951">
      <c r="G951" s="16"/>
      <c r="I951" s="11"/>
      <c r="J951" s="10"/>
    </row>
    <row r="952">
      <c r="G952" s="16"/>
      <c r="I952" s="11"/>
      <c r="J952" s="10"/>
    </row>
    <row r="953">
      <c r="G953" s="16"/>
      <c r="I953" s="11"/>
      <c r="J953" s="10"/>
    </row>
    <row r="954">
      <c r="G954" s="16"/>
      <c r="I954" s="11"/>
      <c r="J954" s="10"/>
    </row>
    <row r="955">
      <c r="G955" s="16"/>
      <c r="I955" s="11"/>
      <c r="J955" s="10"/>
    </row>
    <row r="956">
      <c r="G956" s="16"/>
      <c r="I956" s="11"/>
      <c r="J956" s="10"/>
    </row>
    <row r="957">
      <c r="G957" s="16"/>
      <c r="I957" s="11"/>
      <c r="J957" s="10"/>
    </row>
    <row r="958">
      <c r="G958" s="16"/>
      <c r="I958" s="11"/>
      <c r="J958" s="10"/>
    </row>
    <row r="959">
      <c r="G959" s="16"/>
      <c r="I959" s="11"/>
      <c r="J959" s="10"/>
    </row>
    <row r="960">
      <c r="G960" s="16"/>
      <c r="I960" s="11"/>
      <c r="J960" s="10"/>
    </row>
    <row r="961">
      <c r="G961" s="16"/>
      <c r="I961" s="11"/>
      <c r="J961" s="10"/>
    </row>
    <row r="962">
      <c r="G962" s="16"/>
      <c r="I962" s="11"/>
      <c r="J962" s="10"/>
    </row>
    <row r="963">
      <c r="G963" s="16"/>
      <c r="I963" s="11"/>
      <c r="J963" s="10"/>
    </row>
    <row r="964">
      <c r="G964" s="16"/>
      <c r="I964" s="11"/>
      <c r="J964" s="10"/>
    </row>
    <row r="965">
      <c r="G965" s="16"/>
      <c r="I965" s="11"/>
      <c r="J965" s="10"/>
    </row>
    <row r="966">
      <c r="G966" s="16"/>
      <c r="I966" s="11"/>
      <c r="J966" s="10"/>
    </row>
    <row r="967">
      <c r="G967" s="16"/>
      <c r="I967" s="11"/>
      <c r="J967" s="10"/>
    </row>
    <row r="968">
      <c r="G968" s="16"/>
      <c r="I968" s="11"/>
      <c r="J968" s="10"/>
    </row>
    <row r="969">
      <c r="G969" s="16"/>
      <c r="I969" s="11"/>
      <c r="J969" s="10"/>
    </row>
    <row r="970">
      <c r="G970" s="16"/>
      <c r="I970" s="11"/>
      <c r="J970" s="10"/>
    </row>
    <row r="971">
      <c r="G971" s="16"/>
      <c r="I971" s="11"/>
      <c r="J971" s="10"/>
    </row>
    <row r="972">
      <c r="G972" s="16"/>
      <c r="I972" s="11"/>
      <c r="J972" s="10"/>
    </row>
    <row r="973">
      <c r="G973" s="16"/>
      <c r="I973" s="11"/>
      <c r="J973" s="10"/>
    </row>
    <row r="974">
      <c r="G974" s="16"/>
      <c r="I974" s="11"/>
      <c r="J974" s="10"/>
    </row>
    <row r="975">
      <c r="G975" s="16"/>
      <c r="I975" s="11"/>
      <c r="J975" s="10"/>
    </row>
    <row r="976">
      <c r="G976" s="16"/>
      <c r="I976" s="11"/>
      <c r="J976" s="10"/>
    </row>
    <row r="977">
      <c r="G977" s="16"/>
      <c r="I977" s="11"/>
      <c r="J977" s="10"/>
    </row>
    <row r="978">
      <c r="G978" s="16"/>
      <c r="I978" s="11"/>
      <c r="J978" s="10"/>
    </row>
    <row r="979">
      <c r="G979" s="16"/>
      <c r="I979" s="11"/>
      <c r="J979" s="10"/>
    </row>
    <row r="980">
      <c r="G980" s="16"/>
      <c r="I980" s="11"/>
      <c r="J980" s="10"/>
    </row>
    <row r="981">
      <c r="G981" s="16"/>
      <c r="I981" s="11"/>
      <c r="J981" s="10"/>
    </row>
    <row r="982">
      <c r="G982" s="16"/>
      <c r="I982" s="11"/>
      <c r="J982" s="10"/>
    </row>
    <row r="983">
      <c r="G983" s="16"/>
      <c r="I983" s="11"/>
      <c r="J983" s="10"/>
    </row>
    <row r="984">
      <c r="G984" s="16"/>
      <c r="I984" s="11"/>
      <c r="J984" s="10"/>
    </row>
    <row r="985">
      <c r="G985" s="16"/>
      <c r="I985" s="11"/>
      <c r="J985" s="10"/>
    </row>
    <row r="986">
      <c r="G986" s="16"/>
      <c r="I986" s="11"/>
      <c r="J986" s="10"/>
    </row>
    <row r="987">
      <c r="G987" s="16"/>
      <c r="I987" s="11"/>
      <c r="J987" s="10"/>
    </row>
    <row r="988">
      <c r="G988" s="16"/>
      <c r="I988" s="11"/>
      <c r="J988" s="10"/>
    </row>
    <row r="989">
      <c r="G989" s="16"/>
      <c r="I989" s="11"/>
      <c r="J989" s="10"/>
    </row>
    <row r="990">
      <c r="G990" s="16"/>
      <c r="I990" s="11"/>
      <c r="J990" s="10"/>
    </row>
    <row r="991">
      <c r="G991" s="16"/>
      <c r="I991" s="11"/>
      <c r="J991" s="10"/>
    </row>
    <row r="992">
      <c r="G992" s="16"/>
      <c r="I992" s="11"/>
      <c r="J992" s="10"/>
    </row>
    <row r="993">
      <c r="G993" s="16"/>
      <c r="I993" s="11"/>
      <c r="J993" s="10"/>
    </row>
    <row r="994">
      <c r="G994" s="16"/>
      <c r="I994" s="11"/>
      <c r="J994" s="10"/>
    </row>
    <row r="995">
      <c r="G995" s="16"/>
      <c r="I995" s="11"/>
      <c r="J995" s="10"/>
    </row>
    <row r="996">
      <c r="G996" s="16"/>
      <c r="I996" s="11"/>
      <c r="J996" s="10"/>
    </row>
    <row r="997">
      <c r="G997" s="16"/>
      <c r="I997" s="11"/>
      <c r="J997" s="10"/>
    </row>
    <row r="998">
      <c r="G998" s="16"/>
      <c r="I998" s="11"/>
      <c r="J998" s="10"/>
    </row>
    <row r="999">
      <c r="G999" s="16"/>
      <c r="I999" s="11"/>
      <c r="J999" s="10"/>
    </row>
    <row r="1000">
      <c r="G1000" s="16"/>
      <c r="I1000" s="11"/>
      <c r="J1000" s="10"/>
    </row>
  </sheetData>
  <customSheetViews>
    <customSheetView guid="{B548F571-0EDC-4D66-A057-01B46CC25955}" filter="1" showAutoFilter="1">
      <autoFilter ref="$A$1:$I$1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7.0"/>
    <col customWidth="1" min="3" max="3" width="11.63"/>
    <col customWidth="1" min="4" max="4" width="16.75"/>
    <col customWidth="1" min="5" max="5" width="17.38"/>
    <col customWidth="1" min="6" max="6" width="18.75"/>
    <col customWidth="1" min="7" max="7" width="14.5"/>
  </cols>
  <sheetData>
    <row r="1">
      <c r="A1" s="1" t="s">
        <v>0</v>
      </c>
      <c r="B1" s="1" t="s">
        <v>1</v>
      </c>
      <c r="C1" s="1" t="s">
        <v>2</v>
      </c>
      <c r="D1" s="4" t="s">
        <v>4</v>
      </c>
      <c r="E1" s="1" t="s">
        <v>7</v>
      </c>
      <c r="F1" s="4" t="s">
        <v>8</v>
      </c>
      <c r="G1" s="7" t="s">
        <v>10</v>
      </c>
    </row>
    <row r="2">
      <c r="A2" s="6" t="s">
        <v>9</v>
      </c>
      <c r="B2" s="13">
        <f>SUMIF(Raw_Data!$C$2:$C$101, A2, Raw_Data!$E$2:$E$101)</f>
        <v>921200</v>
      </c>
      <c r="C2" s="13">
        <f>SUMIF(Raw_Data!$C$2:$C$101, A2, Raw_Data!$F$2:$F$101)</f>
        <v>36880</v>
      </c>
      <c r="D2" s="11">
        <f>SUMIF(Raw_Data!$C$2:$C$101, A2, Raw_Data!$G$2:$G$101)</f>
        <v>25555</v>
      </c>
      <c r="E2" s="13">
        <f>SUMIF(Raw_Data!$C$2:$C$101, A2, Raw_Data!$H$2:$H$101)</f>
        <v>1898</v>
      </c>
      <c r="F2" s="11">
        <f>SUMIF(Raw_Data!$C$2:$C$101, A2, Raw_Data!$I$2:$I$101)</f>
        <v>106911</v>
      </c>
      <c r="G2" s="16">
        <f t="shared" ref="G2:G6" si="1">IF(D2=0, 0, F2/D2)</f>
        <v>4.18356486</v>
      </c>
    </row>
    <row r="3">
      <c r="A3" s="6" t="s">
        <v>12</v>
      </c>
      <c r="B3" s="13">
        <f>SUMIF(Raw_Data!$C$2:$C$101, A3, Raw_Data!$E$2:$E$101)</f>
        <v>1659000</v>
      </c>
      <c r="C3" s="13">
        <f>SUMIF(Raw_Data!$C$2:$C$101, A3, Raw_Data!$F$2:$F$101)</f>
        <v>59280</v>
      </c>
      <c r="D3" s="11">
        <f>SUMIF(Raw_Data!$C$2:$C$101, A3, Raw_Data!$G$2:$G$101)</f>
        <v>40320</v>
      </c>
      <c r="E3" s="13">
        <f>SUMIF(Raw_Data!$C$2:$C$101, A3, Raw_Data!$H$2:$H$101)</f>
        <v>2115</v>
      </c>
      <c r="F3" s="11">
        <f>SUMIF(Raw_Data!$C$2:$C$101, A3, Raw_Data!$I$2:$I$101)</f>
        <v>126233</v>
      </c>
      <c r="G3" s="16">
        <f t="shared" si="1"/>
        <v>3.13077877</v>
      </c>
    </row>
    <row r="4">
      <c r="A4" s="6" t="s">
        <v>71</v>
      </c>
      <c r="B4" s="13">
        <f>SUMIF(Raw_Data!$C$2:$C$101, A4, Raw_Data!$E$2:$E$101)</f>
        <v>0</v>
      </c>
      <c r="C4" s="13">
        <f>SUMIF(Raw_Data!$C$2:$C$101, A4, Raw_Data!$F$2:$F$101)</f>
        <v>0</v>
      </c>
      <c r="D4" s="11">
        <f>SUMIF(Raw_Data!$C$2:$C$101, A4, Raw_Data!$G$2:$G$101)</f>
        <v>0</v>
      </c>
      <c r="E4" s="13">
        <f>SUMIF(Raw_Data!$C$2:$C$101, A4, Raw_Data!$H$2:$H$101)</f>
        <v>0</v>
      </c>
      <c r="F4" s="11">
        <f>SUMIF(Raw_Data!$C$2:$C$101, A4, Raw_Data!$I$2:$I$101)</f>
        <v>0</v>
      </c>
      <c r="G4" s="16">
        <f t="shared" si="1"/>
        <v>0</v>
      </c>
    </row>
    <row r="5">
      <c r="A5" s="6" t="s">
        <v>92</v>
      </c>
      <c r="B5" s="13">
        <f>SUMIF(Raw_Data!$C$2:$C$101, A5, Raw_Data!$E$2:$E$101)</f>
        <v>2131000</v>
      </c>
      <c r="C5" s="13">
        <f>SUMIF(Raw_Data!$C$2:$C$101, A5, Raw_Data!$F$2:$F$101)</f>
        <v>76460</v>
      </c>
      <c r="D5" s="11">
        <f>SUMIF(Raw_Data!$C$2:$C$101, A5, Raw_Data!$G$2:$G$101)</f>
        <v>55180</v>
      </c>
      <c r="E5" s="13">
        <f>SUMIF(Raw_Data!$C$2:$C$101, A5, Raw_Data!$H$2:$H$101)</f>
        <v>2579</v>
      </c>
      <c r="F5" s="11">
        <f>SUMIF(Raw_Data!$C$2:$C$101, A5, Raw_Data!$I$2:$I$101)</f>
        <v>172995</v>
      </c>
      <c r="G5" s="16">
        <f t="shared" si="1"/>
        <v>3.135103298</v>
      </c>
    </row>
    <row r="6">
      <c r="A6" s="6" t="s">
        <v>18</v>
      </c>
      <c r="B6" s="13">
        <f>SUMIF(Raw_Data!$C$2:$C$101, A6, Raw_Data!$E$2:$E$101)</f>
        <v>570000</v>
      </c>
      <c r="C6" s="13">
        <f>SUMIF(Raw_Data!$C$2:$C$101, A6, Raw_Data!$F$2:$F$101)</f>
        <v>51700</v>
      </c>
      <c r="D6" s="11">
        <f>SUMIF(Raw_Data!$C$2:$C$101, A6, Raw_Data!$G$2:$G$101)</f>
        <v>8295</v>
      </c>
      <c r="E6" s="13">
        <f>SUMIF(Raw_Data!$C$2:$C$101, A6, Raw_Data!$H$2:$H$101)</f>
        <v>4380</v>
      </c>
      <c r="F6" s="11">
        <f>SUMIF(Raw_Data!$C$2:$C$101, A6, Raw_Data!$I$2:$I$101)</f>
        <v>114124</v>
      </c>
      <c r="G6" s="16">
        <f t="shared" si="1"/>
        <v>13.75816757</v>
      </c>
    </row>
    <row r="7">
      <c r="D7" s="11"/>
      <c r="F7" s="11"/>
      <c r="G7" s="16"/>
    </row>
    <row r="8">
      <c r="D8" s="11"/>
      <c r="F8" s="11"/>
      <c r="G8" s="16"/>
    </row>
    <row r="9">
      <c r="D9" s="11"/>
      <c r="F9" s="11"/>
      <c r="G9" s="16"/>
    </row>
    <row r="10">
      <c r="D10" s="11"/>
      <c r="F10" s="11"/>
      <c r="G10" s="16"/>
    </row>
    <row r="11">
      <c r="D11" s="11"/>
      <c r="F11" s="11"/>
      <c r="G11" s="16"/>
    </row>
    <row r="12">
      <c r="D12" s="11"/>
      <c r="F12" s="11"/>
      <c r="G12" s="16"/>
    </row>
    <row r="13">
      <c r="D13" s="11"/>
      <c r="F13" s="11"/>
      <c r="G13" s="16"/>
    </row>
    <row r="14">
      <c r="D14" s="11"/>
      <c r="F14" s="11"/>
      <c r="G14" s="16"/>
    </row>
    <row r="15">
      <c r="D15" s="11"/>
      <c r="F15" s="11"/>
      <c r="G15" s="16"/>
    </row>
    <row r="16">
      <c r="D16" s="11"/>
      <c r="F16" s="11"/>
      <c r="G16" s="16"/>
    </row>
    <row r="17">
      <c r="D17" s="11"/>
      <c r="F17" s="11"/>
      <c r="G17" s="16"/>
    </row>
    <row r="18">
      <c r="D18" s="11"/>
      <c r="F18" s="11"/>
      <c r="G18" s="16"/>
    </row>
    <row r="19">
      <c r="D19" s="11"/>
      <c r="F19" s="11"/>
      <c r="G19" s="16"/>
    </row>
    <row r="20">
      <c r="D20" s="11"/>
      <c r="F20" s="11"/>
      <c r="G20" s="16"/>
    </row>
    <row r="21">
      <c r="D21" s="11"/>
      <c r="F21" s="11"/>
      <c r="G21" s="16"/>
    </row>
    <row r="22">
      <c r="D22" s="11"/>
      <c r="F22" s="11"/>
      <c r="G22" s="16"/>
    </row>
    <row r="23">
      <c r="D23" s="11"/>
      <c r="F23" s="11"/>
      <c r="G23" s="16"/>
    </row>
    <row r="24">
      <c r="D24" s="11"/>
      <c r="F24" s="11"/>
      <c r="G24" s="16"/>
    </row>
    <row r="25">
      <c r="D25" s="11"/>
      <c r="F25" s="11"/>
      <c r="G25" s="16"/>
    </row>
    <row r="26">
      <c r="D26" s="11"/>
      <c r="F26" s="11"/>
      <c r="G26" s="16"/>
    </row>
    <row r="27">
      <c r="D27" s="11"/>
      <c r="F27" s="11"/>
      <c r="G27" s="16"/>
    </row>
    <row r="28">
      <c r="D28" s="11"/>
      <c r="F28" s="11"/>
      <c r="G28" s="16"/>
    </row>
    <row r="29">
      <c r="D29" s="11"/>
      <c r="F29" s="11"/>
      <c r="G29" s="16"/>
    </row>
    <row r="30">
      <c r="D30" s="11"/>
      <c r="F30" s="11"/>
      <c r="G30" s="16"/>
    </row>
    <row r="31">
      <c r="D31" s="11"/>
      <c r="F31" s="11"/>
      <c r="G31" s="16"/>
    </row>
    <row r="32">
      <c r="D32" s="11"/>
      <c r="F32" s="11"/>
      <c r="G32" s="16"/>
    </row>
    <row r="33">
      <c r="D33" s="11"/>
      <c r="F33" s="11"/>
      <c r="G33" s="16"/>
    </row>
    <row r="34">
      <c r="D34" s="11"/>
      <c r="F34" s="11"/>
      <c r="G34" s="16"/>
    </row>
    <row r="35">
      <c r="D35" s="11"/>
      <c r="F35" s="11"/>
      <c r="G35" s="16"/>
    </row>
    <row r="36">
      <c r="D36" s="11"/>
      <c r="F36" s="11"/>
      <c r="G36" s="16"/>
    </row>
    <row r="37">
      <c r="D37" s="11"/>
      <c r="F37" s="11"/>
      <c r="G37" s="16"/>
    </row>
    <row r="38">
      <c r="D38" s="11"/>
      <c r="F38" s="11"/>
      <c r="G38" s="16"/>
    </row>
    <row r="39">
      <c r="D39" s="11"/>
      <c r="F39" s="11"/>
      <c r="G39" s="16"/>
    </row>
    <row r="40">
      <c r="D40" s="11"/>
      <c r="F40" s="11"/>
      <c r="G40" s="16"/>
    </row>
    <row r="41">
      <c r="D41" s="11"/>
      <c r="F41" s="11"/>
      <c r="G41" s="16"/>
    </row>
    <row r="42">
      <c r="D42" s="11"/>
      <c r="F42" s="11"/>
      <c r="G42" s="16"/>
    </row>
    <row r="43">
      <c r="D43" s="11"/>
      <c r="F43" s="11"/>
      <c r="G43" s="16"/>
    </row>
    <row r="44">
      <c r="D44" s="11"/>
      <c r="F44" s="11"/>
      <c r="G44" s="16"/>
    </row>
    <row r="45">
      <c r="D45" s="11"/>
      <c r="F45" s="11"/>
      <c r="G45" s="16"/>
    </row>
    <row r="46">
      <c r="D46" s="11"/>
      <c r="F46" s="11"/>
      <c r="G46" s="16"/>
    </row>
    <row r="47">
      <c r="D47" s="11"/>
      <c r="F47" s="11"/>
      <c r="G47" s="16"/>
    </row>
    <row r="48">
      <c r="D48" s="11"/>
      <c r="F48" s="11"/>
      <c r="G48" s="16"/>
    </row>
    <row r="49">
      <c r="D49" s="11"/>
      <c r="F49" s="11"/>
      <c r="G49" s="16"/>
    </row>
    <row r="50">
      <c r="D50" s="11"/>
      <c r="F50" s="11"/>
      <c r="G50" s="16"/>
    </row>
    <row r="51">
      <c r="D51" s="11"/>
      <c r="F51" s="11"/>
      <c r="G51" s="16"/>
    </row>
    <row r="52">
      <c r="D52" s="11"/>
      <c r="F52" s="11"/>
      <c r="G52" s="16"/>
    </row>
    <row r="53">
      <c r="D53" s="11"/>
      <c r="F53" s="11"/>
      <c r="G53" s="16"/>
    </row>
    <row r="54">
      <c r="D54" s="11"/>
      <c r="F54" s="11"/>
      <c r="G54" s="16"/>
    </row>
    <row r="55">
      <c r="D55" s="11"/>
      <c r="F55" s="11"/>
      <c r="G55" s="16"/>
    </row>
    <row r="56">
      <c r="D56" s="11"/>
      <c r="F56" s="11"/>
      <c r="G56" s="16"/>
    </row>
    <row r="57">
      <c r="D57" s="11"/>
      <c r="F57" s="11"/>
      <c r="G57" s="16"/>
    </row>
    <row r="58">
      <c r="D58" s="11"/>
      <c r="F58" s="11"/>
      <c r="G58" s="16"/>
    </row>
    <row r="59">
      <c r="D59" s="11"/>
      <c r="F59" s="11"/>
      <c r="G59" s="16"/>
    </row>
    <row r="60">
      <c r="D60" s="11"/>
      <c r="F60" s="11"/>
      <c r="G60" s="16"/>
    </row>
    <row r="61">
      <c r="D61" s="11"/>
      <c r="F61" s="11"/>
      <c r="G61" s="16"/>
    </row>
    <row r="62">
      <c r="D62" s="11"/>
      <c r="F62" s="11"/>
      <c r="G62" s="16"/>
    </row>
    <row r="63">
      <c r="D63" s="11"/>
      <c r="F63" s="11"/>
      <c r="G63" s="16"/>
    </row>
    <row r="64">
      <c r="D64" s="11"/>
      <c r="F64" s="11"/>
      <c r="G64" s="16"/>
    </row>
    <row r="65">
      <c r="D65" s="11"/>
      <c r="F65" s="11"/>
      <c r="G65" s="16"/>
    </row>
    <row r="66">
      <c r="D66" s="11"/>
      <c r="F66" s="11"/>
      <c r="G66" s="16"/>
    </row>
    <row r="67">
      <c r="D67" s="11"/>
      <c r="F67" s="11"/>
      <c r="G67" s="16"/>
    </row>
    <row r="68">
      <c r="D68" s="11"/>
      <c r="F68" s="11"/>
      <c r="G68" s="16"/>
    </row>
    <row r="69">
      <c r="D69" s="11"/>
      <c r="F69" s="11"/>
      <c r="G69" s="16"/>
    </row>
    <row r="70">
      <c r="D70" s="11"/>
      <c r="F70" s="11"/>
      <c r="G70" s="16"/>
    </row>
    <row r="71">
      <c r="D71" s="11"/>
      <c r="F71" s="11"/>
      <c r="G71" s="16"/>
    </row>
    <row r="72">
      <c r="D72" s="11"/>
      <c r="F72" s="11"/>
      <c r="G72" s="16"/>
    </row>
    <row r="73">
      <c r="D73" s="11"/>
      <c r="F73" s="11"/>
      <c r="G73" s="16"/>
    </row>
    <row r="74">
      <c r="D74" s="11"/>
      <c r="F74" s="11"/>
      <c r="G74" s="16"/>
    </row>
    <row r="75">
      <c r="D75" s="11"/>
      <c r="F75" s="11"/>
      <c r="G75" s="16"/>
    </row>
    <row r="76">
      <c r="D76" s="11"/>
      <c r="F76" s="11"/>
      <c r="G76" s="16"/>
    </row>
    <row r="77">
      <c r="D77" s="11"/>
      <c r="F77" s="11"/>
      <c r="G77" s="16"/>
    </row>
    <row r="78">
      <c r="D78" s="11"/>
      <c r="F78" s="11"/>
      <c r="G78" s="16"/>
    </row>
    <row r="79">
      <c r="D79" s="11"/>
      <c r="F79" s="11"/>
      <c r="G79" s="16"/>
    </row>
    <row r="80">
      <c r="D80" s="11"/>
      <c r="F80" s="11"/>
      <c r="G80" s="16"/>
    </row>
    <row r="81">
      <c r="D81" s="11"/>
      <c r="F81" s="11"/>
      <c r="G81" s="16"/>
    </row>
    <row r="82">
      <c r="D82" s="11"/>
      <c r="F82" s="11"/>
      <c r="G82" s="16"/>
    </row>
    <row r="83">
      <c r="D83" s="11"/>
      <c r="F83" s="11"/>
      <c r="G83" s="16"/>
    </row>
    <row r="84">
      <c r="D84" s="11"/>
      <c r="F84" s="11"/>
      <c r="G84" s="16"/>
    </row>
    <row r="85">
      <c r="D85" s="11"/>
      <c r="F85" s="11"/>
      <c r="G85" s="16"/>
    </row>
    <row r="86">
      <c r="D86" s="11"/>
      <c r="F86" s="11"/>
      <c r="G86" s="16"/>
    </row>
    <row r="87">
      <c r="D87" s="11"/>
      <c r="F87" s="11"/>
      <c r="G87" s="16"/>
    </row>
    <row r="88">
      <c r="D88" s="11"/>
      <c r="F88" s="11"/>
      <c r="G88" s="16"/>
    </row>
    <row r="89">
      <c r="D89" s="11"/>
      <c r="F89" s="11"/>
      <c r="G89" s="16"/>
    </row>
    <row r="90">
      <c r="D90" s="11"/>
      <c r="F90" s="11"/>
      <c r="G90" s="16"/>
    </row>
    <row r="91">
      <c r="D91" s="11"/>
      <c r="F91" s="11"/>
      <c r="G91" s="16"/>
    </row>
    <row r="92">
      <c r="D92" s="11"/>
      <c r="F92" s="11"/>
      <c r="G92" s="16"/>
    </row>
    <row r="93">
      <c r="D93" s="11"/>
      <c r="F93" s="11"/>
      <c r="G93" s="16"/>
    </row>
    <row r="94">
      <c r="D94" s="11"/>
      <c r="F94" s="11"/>
      <c r="G94" s="16"/>
    </row>
    <row r="95">
      <c r="D95" s="11"/>
      <c r="F95" s="11"/>
      <c r="G95" s="16"/>
    </row>
    <row r="96">
      <c r="D96" s="11"/>
      <c r="F96" s="11"/>
      <c r="G96" s="16"/>
    </row>
    <row r="97">
      <c r="D97" s="11"/>
      <c r="F97" s="11"/>
      <c r="G97" s="16"/>
    </row>
    <row r="98">
      <c r="D98" s="11"/>
      <c r="F98" s="11"/>
      <c r="G98" s="16"/>
    </row>
    <row r="99">
      <c r="D99" s="11"/>
      <c r="F99" s="11"/>
      <c r="G99" s="16"/>
    </row>
    <row r="100">
      <c r="D100" s="11"/>
      <c r="F100" s="11"/>
      <c r="G100" s="16"/>
    </row>
    <row r="101">
      <c r="D101" s="11"/>
      <c r="F101" s="11"/>
      <c r="G101" s="16"/>
    </row>
    <row r="102">
      <c r="D102" s="11"/>
      <c r="F102" s="11"/>
      <c r="G102" s="16"/>
    </row>
    <row r="103">
      <c r="D103" s="11"/>
      <c r="F103" s="11"/>
      <c r="G103" s="16"/>
    </row>
    <row r="104">
      <c r="D104" s="11"/>
      <c r="F104" s="11"/>
      <c r="G104" s="16"/>
    </row>
    <row r="105">
      <c r="D105" s="11"/>
      <c r="F105" s="11"/>
      <c r="G105" s="16"/>
    </row>
    <row r="106">
      <c r="D106" s="11"/>
      <c r="F106" s="11"/>
      <c r="G106" s="16"/>
    </row>
    <row r="107">
      <c r="D107" s="11"/>
      <c r="F107" s="11"/>
      <c r="G107" s="16"/>
    </row>
    <row r="108">
      <c r="D108" s="11"/>
      <c r="F108" s="11"/>
      <c r="G108" s="16"/>
    </row>
    <row r="109">
      <c r="D109" s="11"/>
      <c r="F109" s="11"/>
      <c r="G109" s="16"/>
    </row>
    <row r="110">
      <c r="D110" s="11"/>
      <c r="F110" s="11"/>
      <c r="G110" s="16"/>
    </row>
    <row r="111">
      <c r="D111" s="11"/>
      <c r="F111" s="11"/>
      <c r="G111" s="16"/>
    </row>
    <row r="112">
      <c r="D112" s="11"/>
      <c r="F112" s="11"/>
      <c r="G112" s="16"/>
    </row>
    <row r="113">
      <c r="D113" s="11"/>
      <c r="F113" s="11"/>
      <c r="G113" s="16"/>
    </row>
    <row r="114">
      <c r="D114" s="11"/>
      <c r="F114" s="11"/>
      <c r="G114" s="16"/>
    </row>
    <row r="115">
      <c r="D115" s="11"/>
      <c r="F115" s="11"/>
      <c r="G115" s="16"/>
    </row>
    <row r="116">
      <c r="D116" s="11"/>
      <c r="F116" s="11"/>
      <c r="G116" s="16"/>
    </row>
    <row r="117">
      <c r="D117" s="11"/>
      <c r="F117" s="11"/>
      <c r="G117" s="16"/>
    </row>
    <row r="118">
      <c r="D118" s="11"/>
      <c r="F118" s="11"/>
      <c r="G118" s="16"/>
    </row>
    <row r="119">
      <c r="D119" s="11"/>
      <c r="F119" s="11"/>
      <c r="G119" s="16"/>
    </row>
    <row r="120">
      <c r="D120" s="11"/>
      <c r="F120" s="11"/>
      <c r="G120" s="16"/>
    </row>
    <row r="121">
      <c r="D121" s="11"/>
      <c r="F121" s="11"/>
      <c r="G121" s="16"/>
    </row>
    <row r="122">
      <c r="D122" s="11"/>
      <c r="F122" s="11"/>
      <c r="G122" s="16"/>
    </row>
    <row r="123">
      <c r="D123" s="11"/>
      <c r="F123" s="11"/>
      <c r="G123" s="16"/>
    </row>
    <row r="124">
      <c r="D124" s="11"/>
      <c r="F124" s="11"/>
      <c r="G124" s="16"/>
    </row>
    <row r="125">
      <c r="D125" s="11"/>
      <c r="F125" s="11"/>
      <c r="G125" s="16"/>
    </row>
    <row r="126">
      <c r="D126" s="11"/>
      <c r="F126" s="11"/>
      <c r="G126" s="16"/>
    </row>
    <row r="127">
      <c r="D127" s="11"/>
      <c r="F127" s="11"/>
      <c r="G127" s="16"/>
    </row>
    <row r="128">
      <c r="D128" s="11"/>
      <c r="F128" s="11"/>
      <c r="G128" s="16"/>
    </row>
    <row r="129">
      <c r="D129" s="11"/>
      <c r="F129" s="11"/>
      <c r="G129" s="16"/>
    </row>
    <row r="130">
      <c r="D130" s="11"/>
      <c r="F130" s="11"/>
      <c r="G130" s="16"/>
    </row>
    <row r="131">
      <c r="D131" s="11"/>
      <c r="F131" s="11"/>
      <c r="G131" s="16"/>
    </row>
    <row r="132">
      <c r="D132" s="11"/>
      <c r="F132" s="11"/>
      <c r="G132" s="16"/>
    </row>
    <row r="133">
      <c r="D133" s="11"/>
      <c r="F133" s="11"/>
      <c r="G133" s="16"/>
    </row>
    <row r="134">
      <c r="D134" s="11"/>
      <c r="F134" s="11"/>
      <c r="G134" s="16"/>
    </row>
    <row r="135">
      <c r="D135" s="11"/>
      <c r="F135" s="11"/>
      <c r="G135" s="16"/>
    </row>
    <row r="136">
      <c r="D136" s="11"/>
      <c r="F136" s="11"/>
      <c r="G136" s="16"/>
    </row>
    <row r="137">
      <c r="D137" s="11"/>
      <c r="F137" s="11"/>
      <c r="G137" s="16"/>
    </row>
    <row r="138">
      <c r="D138" s="11"/>
      <c r="F138" s="11"/>
      <c r="G138" s="16"/>
    </row>
    <row r="139">
      <c r="D139" s="11"/>
      <c r="F139" s="11"/>
      <c r="G139" s="16"/>
    </row>
    <row r="140">
      <c r="D140" s="11"/>
      <c r="F140" s="11"/>
      <c r="G140" s="16"/>
    </row>
    <row r="141">
      <c r="D141" s="11"/>
      <c r="F141" s="11"/>
      <c r="G141" s="16"/>
    </row>
    <row r="142">
      <c r="D142" s="11"/>
      <c r="F142" s="11"/>
      <c r="G142" s="16"/>
    </row>
    <row r="143">
      <c r="D143" s="11"/>
      <c r="F143" s="11"/>
      <c r="G143" s="16"/>
    </row>
    <row r="144">
      <c r="D144" s="11"/>
      <c r="F144" s="11"/>
      <c r="G144" s="16"/>
    </row>
    <row r="145">
      <c r="D145" s="11"/>
      <c r="F145" s="11"/>
      <c r="G145" s="16"/>
    </row>
    <row r="146">
      <c r="D146" s="11"/>
      <c r="F146" s="11"/>
      <c r="G146" s="16"/>
    </row>
    <row r="147">
      <c r="D147" s="11"/>
      <c r="F147" s="11"/>
      <c r="G147" s="16"/>
    </row>
    <row r="148">
      <c r="D148" s="11"/>
      <c r="F148" s="11"/>
      <c r="G148" s="16"/>
    </row>
    <row r="149">
      <c r="D149" s="11"/>
      <c r="F149" s="11"/>
      <c r="G149" s="16"/>
    </row>
    <row r="150">
      <c r="D150" s="11"/>
      <c r="F150" s="11"/>
      <c r="G150" s="16"/>
    </row>
    <row r="151">
      <c r="D151" s="11"/>
      <c r="F151" s="11"/>
      <c r="G151" s="16"/>
    </row>
    <row r="152">
      <c r="D152" s="11"/>
      <c r="F152" s="11"/>
      <c r="G152" s="16"/>
    </row>
    <row r="153">
      <c r="D153" s="11"/>
      <c r="F153" s="11"/>
      <c r="G153" s="16"/>
    </row>
    <row r="154">
      <c r="D154" s="11"/>
      <c r="F154" s="11"/>
      <c r="G154" s="16"/>
    </row>
    <row r="155">
      <c r="D155" s="11"/>
      <c r="F155" s="11"/>
      <c r="G155" s="16"/>
    </row>
    <row r="156">
      <c r="D156" s="11"/>
      <c r="F156" s="11"/>
      <c r="G156" s="16"/>
    </row>
    <row r="157">
      <c r="D157" s="11"/>
      <c r="F157" s="11"/>
      <c r="G157" s="16"/>
    </row>
    <row r="158">
      <c r="D158" s="11"/>
      <c r="F158" s="11"/>
      <c r="G158" s="16"/>
    </row>
    <row r="159">
      <c r="D159" s="11"/>
      <c r="F159" s="11"/>
      <c r="G159" s="16"/>
    </row>
    <row r="160">
      <c r="D160" s="11"/>
      <c r="F160" s="11"/>
      <c r="G160" s="16"/>
    </row>
    <row r="161">
      <c r="D161" s="11"/>
      <c r="F161" s="11"/>
      <c r="G161" s="16"/>
    </row>
    <row r="162">
      <c r="D162" s="11"/>
      <c r="F162" s="11"/>
      <c r="G162" s="16"/>
    </row>
    <row r="163">
      <c r="D163" s="11"/>
      <c r="F163" s="11"/>
      <c r="G163" s="16"/>
    </row>
    <row r="164">
      <c r="D164" s="11"/>
      <c r="F164" s="11"/>
      <c r="G164" s="16"/>
    </row>
    <row r="165">
      <c r="D165" s="11"/>
      <c r="F165" s="11"/>
      <c r="G165" s="16"/>
    </row>
    <row r="166">
      <c r="D166" s="11"/>
      <c r="F166" s="11"/>
      <c r="G166" s="16"/>
    </row>
    <row r="167">
      <c r="D167" s="11"/>
      <c r="F167" s="11"/>
      <c r="G167" s="16"/>
    </row>
    <row r="168">
      <c r="D168" s="11"/>
      <c r="F168" s="11"/>
      <c r="G168" s="16"/>
    </row>
    <row r="169">
      <c r="D169" s="11"/>
      <c r="F169" s="11"/>
      <c r="G169" s="16"/>
    </row>
    <row r="170">
      <c r="D170" s="11"/>
      <c r="F170" s="11"/>
      <c r="G170" s="16"/>
    </row>
    <row r="171">
      <c r="D171" s="11"/>
      <c r="F171" s="11"/>
      <c r="G171" s="16"/>
    </row>
    <row r="172">
      <c r="D172" s="11"/>
      <c r="F172" s="11"/>
      <c r="G172" s="16"/>
    </row>
    <row r="173">
      <c r="D173" s="11"/>
      <c r="F173" s="11"/>
      <c r="G173" s="16"/>
    </row>
    <row r="174">
      <c r="D174" s="11"/>
      <c r="F174" s="11"/>
      <c r="G174" s="16"/>
    </row>
    <row r="175">
      <c r="D175" s="11"/>
      <c r="F175" s="11"/>
      <c r="G175" s="16"/>
    </row>
    <row r="176">
      <c r="D176" s="11"/>
      <c r="F176" s="11"/>
      <c r="G176" s="16"/>
    </row>
    <row r="177">
      <c r="D177" s="11"/>
      <c r="F177" s="11"/>
      <c r="G177" s="16"/>
    </row>
    <row r="178">
      <c r="D178" s="11"/>
      <c r="F178" s="11"/>
      <c r="G178" s="16"/>
    </row>
    <row r="179">
      <c r="D179" s="11"/>
      <c r="F179" s="11"/>
      <c r="G179" s="16"/>
    </row>
    <row r="180">
      <c r="D180" s="11"/>
      <c r="F180" s="11"/>
      <c r="G180" s="16"/>
    </row>
    <row r="181">
      <c r="D181" s="11"/>
      <c r="F181" s="11"/>
      <c r="G181" s="16"/>
    </row>
    <row r="182">
      <c r="D182" s="11"/>
      <c r="F182" s="11"/>
      <c r="G182" s="16"/>
    </row>
    <row r="183">
      <c r="D183" s="11"/>
      <c r="F183" s="11"/>
      <c r="G183" s="16"/>
    </row>
    <row r="184">
      <c r="D184" s="11"/>
      <c r="F184" s="11"/>
      <c r="G184" s="16"/>
    </row>
    <row r="185">
      <c r="D185" s="11"/>
      <c r="F185" s="11"/>
      <c r="G185" s="16"/>
    </row>
    <row r="186">
      <c r="D186" s="11"/>
      <c r="F186" s="11"/>
      <c r="G186" s="16"/>
    </row>
    <row r="187">
      <c r="D187" s="11"/>
      <c r="F187" s="11"/>
      <c r="G187" s="16"/>
    </row>
    <row r="188">
      <c r="D188" s="11"/>
      <c r="F188" s="11"/>
      <c r="G188" s="16"/>
    </row>
    <row r="189">
      <c r="D189" s="11"/>
      <c r="F189" s="11"/>
      <c r="G189" s="16"/>
    </row>
    <row r="190">
      <c r="D190" s="11"/>
      <c r="F190" s="11"/>
      <c r="G190" s="16"/>
    </row>
    <row r="191">
      <c r="D191" s="11"/>
      <c r="F191" s="11"/>
      <c r="G191" s="16"/>
    </row>
    <row r="192">
      <c r="D192" s="11"/>
      <c r="F192" s="11"/>
      <c r="G192" s="16"/>
    </row>
    <row r="193">
      <c r="D193" s="11"/>
      <c r="F193" s="11"/>
      <c r="G193" s="16"/>
    </row>
    <row r="194">
      <c r="D194" s="11"/>
      <c r="F194" s="11"/>
      <c r="G194" s="16"/>
    </row>
    <row r="195">
      <c r="D195" s="11"/>
      <c r="F195" s="11"/>
      <c r="G195" s="16"/>
    </row>
    <row r="196">
      <c r="D196" s="11"/>
      <c r="F196" s="11"/>
      <c r="G196" s="16"/>
    </row>
    <row r="197">
      <c r="D197" s="11"/>
      <c r="F197" s="11"/>
      <c r="G197" s="16"/>
    </row>
    <row r="198">
      <c r="D198" s="11"/>
      <c r="F198" s="11"/>
      <c r="G198" s="16"/>
    </row>
    <row r="199">
      <c r="D199" s="11"/>
      <c r="F199" s="11"/>
      <c r="G199" s="16"/>
    </row>
    <row r="200">
      <c r="D200" s="11"/>
      <c r="F200" s="11"/>
      <c r="G200" s="16"/>
    </row>
    <row r="201">
      <c r="D201" s="11"/>
      <c r="F201" s="11"/>
      <c r="G201" s="16"/>
    </row>
    <row r="202">
      <c r="D202" s="11"/>
      <c r="F202" s="11"/>
      <c r="G202" s="16"/>
    </row>
    <row r="203">
      <c r="D203" s="11"/>
      <c r="F203" s="11"/>
      <c r="G203" s="16"/>
    </row>
    <row r="204">
      <c r="D204" s="11"/>
      <c r="F204" s="11"/>
      <c r="G204" s="16"/>
    </row>
    <row r="205">
      <c r="D205" s="11"/>
      <c r="F205" s="11"/>
      <c r="G205" s="16"/>
    </row>
    <row r="206">
      <c r="D206" s="11"/>
      <c r="F206" s="11"/>
      <c r="G206" s="16"/>
    </row>
    <row r="207">
      <c r="D207" s="11"/>
      <c r="F207" s="11"/>
      <c r="G207" s="16"/>
    </row>
    <row r="208">
      <c r="D208" s="11"/>
      <c r="F208" s="11"/>
      <c r="G208" s="16"/>
    </row>
    <row r="209">
      <c r="D209" s="11"/>
      <c r="F209" s="11"/>
      <c r="G209" s="16"/>
    </row>
    <row r="210">
      <c r="D210" s="11"/>
      <c r="F210" s="11"/>
      <c r="G210" s="16"/>
    </row>
    <row r="211">
      <c r="D211" s="11"/>
      <c r="F211" s="11"/>
      <c r="G211" s="16"/>
    </row>
    <row r="212">
      <c r="D212" s="11"/>
      <c r="F212" s="11"/>
      <c r="G212" s="16"/>
    </row>
    <row r="213">
      <c r="D213" s="11"/>
      <c r="F213" s="11"/>
      <c r="G213" s="16"/>
    </row>
    <row r="214">
      <c r="D214" s="11"/>
      <c r="F214" s="11"/>
      <c r="G214" s="16"/>
    </row>
    <row r="215">
      <c r="D215" s="11"/>
      <c r="F215" s="11"/>
      <c r="G215" s="16"/>
    </row>
    <row r="216">
      <c r="D216" s="11"/>
      <c r="F216" s="11"/>
      <c r="G216" s="16"/>
    </row>
    <row r="217">
      <c r="D217" s="11"/>
      <c r="F217" s="11"/>
      <c r="G217" s="16"/>
    </row>
    <row r="218">
      <c r="D218" s="11"/>
      <c r="F218" s="11"/>
      <c r="G218" s="16"/>
    </row>
    <row r="219">
      <c r="D219" s="11"/>
      <c r="F219" s="11"/>
      <c r="G219" s="16"/>
    </row>
    <row r="220">
      <c r="D220" s="11"/>
      <c r="F220" s="11"/>
      <c r="G220" s="16"/>
    </row>
    <row r="221">
      <c r="D221" s="11"/>
      <c r="F221" s="11"/>
      <c r="G221" s="16"/>
    </row>
    <row r="222">
      <c r="D222" s="11"/>
      <c r="F222" s="11"/>
      <c r="G222" s="16"/>
    </row>
    <row r="223">
      <c r="D223" s="11"/>
      <c r="F223" s="11"/>
      <c r="G223" s="16"/>
    </row>
    <row r="224">
      <c r="D224" s="11"/>
      <c r="F224" s="11"/>
      <c r="G224" s="16"/>
    </row>
    <row r="225">
      <c r="D225" s="11"/>
      <c r="F225" s="11"/>
      <c r="G225" s="16"/>
    </row>
    <row r="226">
      <c r="D226" s="11"/>
      <c r="F226" s="11"/>
      <c r="G226" s="16"/>
    </row>
    <row r="227">
      <c r="D227" s="11"/>
      <c r="F227" s="11"/>
      <c r="G227" s="16"/>
    </row>
    <row r="228">
      <c r="D228" s="11"/>
      <c r="F228" s="11"/>
      <c r="G228" s="16"/>
    </row>
    <row r="229">
      <c r="D229" s="11"/>
      <c r="F229" s="11"/>
      <c r="G229" s="16"/>
    </row>
    <row r="230">
      <c r="D230" s="11"/>
      <c r="F230" s="11"/>
      <c r="G230" s="16"/>
    </row>
    <row r="231">
      <c r="D231" s="11"/>
      <c r="F231" s="11"/>
      <c r="G231" s="16"/>
    </row>
    <row r="232">
      <c r="D232" s="11"/>
      <c r="F232" s="11"/>
      <c r="G232" s="16"/>
    </row>
    <row r="233">
      <c r="D233" s="11"/>
      <c r="F233" s="11"/>
      <c r="G233" s="16"/>
    </row>
    <row r="234">
      <c r="D234" s="11"/>
      <c r="F234" s="11"/>
      <c r="G234" s="16"/>
    </row>
    <row r="235">
      <c r="D235" s="11"/>
      <c r="F235" s="11"/>
      <c r="G235" s="16"/>
    </row>
    <row r="236">
      <c r="D236" s="11"/>
      <c r="F236" s="11"/>
      <c r="G236" s="16"/>
    </row>
    <row r="237">
      <c r="D237" s="11"/>
      <c r="F237" s="11"/>
      <c r="G237" s="16"/>
    </row>
    <row r="238">
      <c r="D238" s="11"/>
      <c r="F238" s="11"/>
      <c r="G238" s="16"/>
    </row>
    <row r="239">
      <c r="D239" s="11"/>
      <c r="F239" s="11"/>
      <c r="G239" s="16"/>
    </row>
    <row r="240">
      <c r="D240" s="11"/>
      <c r="F240" s="11"/>
      <c r="G240" s="16"/>
    </row>
    <row r="241">
      <c r="D241" s="11"/>
      <c r="F241" s="11"/>
      <c r="G241" s="16"/>
    </row>
    <row r="242">
      <c r="D242" s="11"/>
      <c r="F242" s="11"/>
      <c r="G242" s="16"/>
    </row>
    <row r="243">
      <c r="D243" s="11"/>
      <c r="F243" s="11"/>
      <c r="G243" s="16"/>
    </row>
    <row r="244">
      <c r="D244" s="11"/>
      <c r="F244" s="11"/>
      <c r="G244" s="16"/>
    </row>
    <row r="245">
      <c r="D245" s="11"/>
      <c r="F245" s="11"/>
      <c r="G245" s="16"/>
    </row>
    <row r="246">
      <c r="D246" s="11"/>
      <c r="F246" s="11"/>
      <c r="G246" s="16"/>
    </row>
    <row r="247">
      <c r="D247" s="11"/>
      <c r="F247" s="11"/>
      <c r="G247" s="16"/>
    </row>
    <row r="248">
      <c r="D248" s="11"/>
      <c r="F248" s="11"/>
      <c r="G248" s="16"/>
    </row>
    <row r="249">
      <c r="D249" s="11"/>
      <c r="F249" s="11"/>
      <c r="G249" s="16"/>
    </row>
    <row r="250">
      <c r="D250" s="11"/>
      <c r="F250" s="11"/>
      <c r="G250" s="16"/>
    </row>
    <row r="251">
      <c r="D251" s="11"/>
      <c r="F251" s="11"/>
      <c r="G251" s="16"/>
    </row>
    <row r="252">
      <c r="D252" s="11"/>
      <c r="F252" s="11"/>
      <c r="G252" s="16"/>
    </row>
    <row r="253">
      <c r="D253" s="11"/>
      <c r="F253" s="11"/>
      <c r="G253" s="16"/>
    </row>
    <row r="254">
      <c r="D254" s="11"/>
      <c r="F254" s="11"/>
      <c r="G254" s="16"/>
    </row>
    <row r="255">
      <c r="D255" s="11"/>
      <c r="F255" s="11"/>
      <c r="G255" s="16"/>
    </row>
    <row r="256">
      <c r="D256" s="11"/>
      <c r="F256" s="11"/>
      <c r="G256" s="16"/>
    </row>
    <row r="257">
      <c r="D257" s="11"/>
      <c r="F257" s="11"/>
      <c r="G257" s="16"/>
    </row>
    <row r="258">
      <c r="D258" s="11"/>
      <c r="F258" s="11"/>
      <c r="G258" s="16"/>
    </row>
    <row r="259">
      <c r="D259" s="11"/>
      <c r="F259" s="11"/>
      <c r="G259" s="16"/>
    </row>
    <row r="260">
      <c r="D260" s="11"/>
      <c r="F260" s="11"/>
      <c r="G260" s="16"/>
    </row>
    <row r="261">
      <c r="D261" s="11"/>
      <c r="F261" s="11"/>
      <c r="G261" s="16"/>
    </row>
    <row r="262">
      <c r="D262" s="11"/>
      <c r="F262" s="11"/>
      <c r="G262" s="16"/>
    </row>
    <row r="263">
      <c r="D263" s="11"/>
      <c r="F263" s="11"/>
      <c r="G263" s="16"/>
    </row>
    <row r="264">
      <c r="D264" s="11"/>
      <c r="F264" s="11"/>
      <c r="G264" s="16"/>
    </row>
    <row r="265">
      <c r="D265" s="11"/>
      <c r="F265" s="11"/>
      <c r="G265" s="16"/>
    </row>
    <row r="266">
      <c r="D266" s="11"/>
      <c r="F266" s="11"/>
      <c r="G266" s="16"/>
    </row>
    <row r="267">
      <c r="D267" s="11"/>
      <c r="F267" s="11"/>
      <c r="G267" s="16"/>
    </row>
    <row r="268">
      <c r="D268" s="11"/>
      <c r="F268" s="11"/>
      <c r="G268" s="16"/>
    </row>
    <row r="269">
      <c r="D269" s="11"/>
      <c r="F269" s="11"/>
      <c r="G269" s="16"/>
    </row>
    <row r="270">
      <c r="D270" s="11"/>
      <c r="F270" s="11"/>
      <c r="G270" s="16"/>
    </row>
    <row r="271">
      <c r="D271" s="11"/>
      <c r="F271" s="11"/>
      <c r="G271" s="16"/>
    </row>
    <row r="272">
      <c r="D272" s="11"/>
      <c r="F272" s="11"/>
      <c r="G272" s="16"/>
    </row>
    <row r="273">
      <c r="D273" s="11"/>
      <c r="F273" s="11"/>
      <c r="G273" s="16"/>
    </row>
    <row r="274">
      <c r="D274" s="11"/>
      <c r="F274" s="11"/>
      <c r="G274" s="16"/>
    </row>
    <row r="275">
      <c r="D275" s="11"/>
      <c r="F275" s="11"/>
      <c r="G275" s="16"/>
    </row>
    <row r="276">
      <c r="D276" s="11"/>
      <c r="F276" s="11"/>
      <c r="G276" s="16"/>
    </row>
    <row r="277">
      <c r="D277" s="11"/>
      <c r="F277" s="11"/>
      <c r="G277" s="16"/>
    </row>
    <row r="278">
      <c r="D278" s="11"/>
      <c r="F278" s="11"/>
      <c r="G278" s="16"/>
    </row>
    <row r="279">
      <c r="D279" s="11"/>
      <c r="F279" s="11"/>
      <c r="G279" s="16"/>
    </row>
    <row r="280">
      <c r="D280" s="11"/>
      <c r="F280" s="11"/>
      <c r="G280" s="16"/>
    </row>
    <row r="281">
      <c r="D281" s="11"/>
      <c r="F281" s="11"/>
      <c r="G281" s="16"/>
    </row>
    <row r="282">
      <c r="D282" s="11"/>
      <c r="F282" s="11"/>
      <c r="G282" s="16"/>
    </row>
    <row r="283">
      <c r="D283" s="11"/>
      <c r="F283" s="11"/>
      <c r="G283" s="16"/>
    </row>
    <row r="284">
      <c r="D284" s="11"/>
      <c r="F284" s="11"/>
      <c r="G284" s="16"/>
    </row>
    <row r="285">
      <c r="D285" s="11"/>
      <c r="F285" s="11"/>
      <c r="G285" s="16"/>
    </row>
    <row r="286">
      <c r="D286" s="11"/>
      <c r="F286" s="11"/>
      <c r="G286" s="16"/>
    </row>
    <row r="287">
      <c r="D287" s="11"/>
      <c r="F287" s="11"/>
      <c r="G287" s="16"/>
    </row>
    <row r="288">
      <c r="D288" s="11"/>
      <c r="F288" s="11"/>
      <c r="G288" s="16"/>
    </row>
    <row r="289">
      <c r="D289" s="11"/>
      <c r="F289" s="11"/>
      <c r="G289" s="16"/>
    </row>
    <row r="290">
      <c r="D290" s="11"/>
      <c r="F290" s="11"/>
      <c r="G290" s="16"/>
    </row>
    <row r="291">
      <c r="D291" s="11"/>
      <c r="F291" s="11"/>
      <c r="G291" s="16"/>
    </row>
    <row r="292">
      <c r="D292" s="11"/>
      <c r="F292" s="11"/>
      <c r="G292" s="16"/>
    </row>
    <row r="293">
      <c r="D293" s="11"/>
      <c r="F293" s="11"/>
      <c r="G293" s="16"/>
    </row>
    <row r="294">
      <c r="D294" s="11"/>
      <c r="F294" s="11"/>
      <c r="G294" s="16"/>
    </row>
    <row r="295">
      <c r="D295" s="11"/>
      <c r="F295" s="11"/>
      <c r="G295" s="16"/>
    </row>
    <row r="296">
      <c r="D296" s="11"/>
      <c r="F296" s="11"/>
      <c r="G296" s="16"/>
    </row>
    <row r="297">
      <c r="D297" s="11"/>
      <c r="F297" s="11"/>
      <c r="G297" s="16"/>
    </row>
    <row r="298">
      <c r="D298" s="11"/>
      <c r="F298" s="11"/>
      <c r="G298" s="16"/>
    </row>
    <row r="299">
      <c r="D299" s="11"/>
      <c r="F299" s="11"/>
      <c r="G299" s="16"/>
    </row>
    <row r="300">
      <c r="D300" s="11"/>
      <c r="F300" s="11"/>
      <c r="G300" s="16"/>
    </row>
    <row r="301">
      <c r="D301" s="11"/>
      <c r="F301" s="11"/>
      <c r="G301" s="16"/>
    </row>
    <row r="302">
      <c r="D302" s="11"/>
      <c r="F302" s="11"/>
      <c r="G302" s="16"/>
    </row>
    <row r="303">
      <c r="D303" s="11"/>
      <c r="F303" s="11"/>
      <c r="G303" s="16"/>
    </row>
    <row r="304">
      <c r="D304" s="11"/>
      <c r="F304" s="11"/>
      <c r="G304" s="16"/>
    </row>
    <row r="305">
      <c r="D305" s="11"/>
      <c r="F305" s="11"/>
      <c r="G305" s="16"/>
    </row>
    <row r="306">
      <c r="D306" s="11"/>
      <c r="F306" s="11"/>
      <c r="G306" s="16"/>
    </row>
    <row r="307">
      <c r="D307" s="11"/>
      <c r="F307" s="11"/>
      <c r="G307" s="16"/>
    </row>
    <row r="308">
      <c r="D308" s="11"/>
      <c r="F308" s="11"/>
      <c r="G308" s="16"/>
    </row>
    <row r="309">
      <c r="D309" s="11"/>
      <c r="F309" s="11"/>
      <c r="G309" s="16"/>
    </row>
    <row r="310">
      <c r="D310" s="11"/>
      <c r="F310" s="11"/>
      <c r="G310" s="16"/>
    </row>
    <row r="311">
      <c r="D311" s="11"/>
      <c r="F311" s="11"/>
      <c r="G311" s="16"/>
    </row>
    <row r="312">
      <c r="D312" s="11"/>
      <c r="F312" s="11"/>
      <c r="G312" s="16"/>
    </row>
    <row r="313">
      <c r="D313" s="11"/>
      <c r="F313" s="11"/>
      <c r="G313" s="16"/>
    </row>
    <row r="314">
      <c r="D314" s="11"/>
      <c r="F314" s="11"/>
      <c r="G314" s="16"/>
    </row>
    <row r="315">
      <c r="D315" s="11"/>
      <c r="F315" s="11"/>
      <c r="G315" s="16"/>
    </row>
    <row r="316">
      <c r="D316" s="11"/>
      <c r="F316" s="11"/>
      <c r="G316" s="16"/>
    </row>
    <row r="317">
      <c r="D317" s="11"/>
      <c r="F317" s="11"/>
      <c r="G317" s="16"/>
    </row>
    <row r="318">
      <c r="D318" s="11"/>
      <c r="F318" s="11"/>
      <c r="G318" s="16"/>
    </row>
    <row r="319">
      <c r="D319" s="11"/>
      <c r="F319" s="11"/>
      <c r="G319" s="16"/>
    </row>
    <row r="320">
      <c r="D320" s="11"/>
      <c r="F320" s="11"/>
      <c r="G320" s="16"/>
    </row>
    <row r="321">
      <c r="D321" s="11"/>
      <c r="F321" s="11"/>
      <c r="G321" s="16"/>
    </row>
    <row r="322">
      <c r="D322" s="11"/>
      <c r="F322" s="11"/>
      <c r="G322" s="16"/>
    </row>
    <row r="323">
      <c r="D323" s="11"/>
      <c r="F323" s="11"/>
      <c r="G323" s="16"/>
    </row>
    <row r="324">
      <c r="D324" s="11"/>
      <c r="F324" s="11"/>
      <c r="G324" s="16"/>
    </row>
    <row r="325">
      <c r="D325" s="11"/>
      <c r="F325" s="11"/>
      <c r="G325" s="16"/>
    </row>
    <row r="326">
      <c r="D326" s="11"/>
      <c r="F326" s="11"/>
      <c r="G326" s="16"/>
    </row>
    <row r="327">
      <c r="D327" s="11"/>
      <c r="F327" s="11"/>
      <c r="G327" s="16"/>
    </row>
    <row r="328">
      <c r="D328" s="11"/>
      <c r="F328" s="11"/>
      <c r="G328" s="16"/>
    </row>
    <row r="329">
      <c r="D329" s="11"/>
      <c r="F329" s="11"/>
      <c r="G329" s="16"/>
    </row>
    <row r="330">
      <c r="D330" s="11"/>
      <c r="F330" s="11"/>
      <c r="G330" s="16"/>
    </row>
    <row r="331">
      <c r="D331" s="11"/>
      <c r="F331" s="11"/>
      <c r="G331" s="16"/>
    </row>
    <row r="332">
      <c r="D332" s="11"/>
      <c r="F332" s="11"/>
      <c r="G332" s="16"/>
    </row>
    <row r="333">
      <c r="D333" s="11"/>
      <c r="F333" s="11"/>
      <c r="G333" s="16"/>
    </row>
    <row r="334">
      <c r="D334" s="11"/>
      <c r="F334" s="11"/>
      <c r="G334" s="16"/>
    </row>
    <row r="335">
      <c r="D335" s="11"/>
      <c r="F335" s="11"/>
      <c r="G335" s="16"/>
    </row>
    <row r="336">
      <c r="D336" s="11"/>
      <c r="F336" s="11"/>
      <c r="G336" s="16"/>
    </row>
    <row r="337">
      <c r="D337" s="11"/>
      <c r="F337" s="11"/>
      <c r="G337" s="16"/>
    </row>
    <row r="338">
      <c r="D338" s="11"/>
      <c r="F338" s="11"/>
      <c r="G338" s="16"/>
    </row>
    <row r="339">
      <c r="D339" s="11"/>
      <c r="F339" s="11"/>
      <c r="G339" s="16"/>
    </row>
    <row r="340">
      <c r="D340" s="11"/>
      <c r="F340" s="11"/>
      <c r="G340" s="16"/>
    </row>
    <row r="341">
      <c r="D341" s="11"/>
      <c r="F341" s="11"/>
      <c r="G341" s="16"/>
    </row>
    <row r="342">
      <c r="D342" s="11"/>
      <c r="F342" s="11"/>
      <c r="G342" s="16"/>
    </row>
    <row r="343">
      <c r="D343" s="11"/>
      <c r="F343" s="11"/>
      <c r="G343" s="16"/>
    </row>
    <row r="344">
      <c r="D344" s="11"/>
      <c r="F344" s="11"/>
      <c r="G344" s="16"/>
    </row>
    <row r="345">
      <c r="D345" s="11"/>
      <c r="F345" s="11"/>
      <c r="G345" s="16"/>
    </row>
    <row r="346">
      <c r="D346" s="11"/>
      <c r="F346" s="11"/>
      <c r="G346" s="16"/>
    </row>
    <row r="347">
      <c r="D347" s="11"/>
      <c r="F347" s="11"/>
      <c r="G347" s="16"/>
    </row>
    <row r="348">
      <c r="D348" s="11"/>
      <c r="F348" s="11"/>
      <c r="G348" s="16"/>
    </row>
    <row r="349">
      <c r="D349" s="11"/>
      <c r="F349" s="11"/>
      <c r="G349" s="16"/>
    </row>
    <row r="350">
      <c r="D350" s="11"/>
      <c r="F350" s="11"/>
      <c r="G350" s="16"/>
    </row>
    <row r="351">
      <c r="D351" s="11"/>
      <c r="F351" s="11"/>
      <c r="G351" s="16"/>
    </row>
    <row r="352">
      <c r="D352" s="11"/>
      <c r="F352" s="11"/>
      <c r="G352" s="16"/>
    </row>
    <row r="353">
      <c r="D353" s="11"/>
      <c r="F353" s="11"/>
      <c r="G353" s="16"/>
    </row>
    <row r="354">
      <c r="D354" s="11"/>
      <c r="F354" s="11"/>
      <c r="G354" s="16"/>
    </row>
    <row r="355">
      <c r="D355" s="11"/>
      <c r="F355" s="11"/>
      <c r="G355" s="16"/>
    </row>
    <row r="356">
      <c r="D356" s="11"/>
      <c r="F356" s="11"/>
      <c r="G356" s="16"/>
    </row>
    <row r="357">
      <c r="D357" s="11"/>
      <c r="F357" s="11"/>
      <c r="G357" s="16"/>
    </row>
    <row r="358">
      <c r="D358" s="11"/>
      <c r="F358" s="11"/>
      <c r="G358" s="16"/>
    </row>
    <row r="359">
      <c r="D359" s="11"/>
      <c r="F359" s="11"/>
      <c r="G359" s="16"/>
    </row>
    <row r="360">
      <c r="D360" s="11"/>
      <c r="F360" s="11"/>
      <c r="G360" s="16"/>
    </row>
    <row r="361">
      <c r="D361" s="11"/>
      <c r="F361" s="11"/>
      <c r="G361" s="16"/>
    </row>
    <row r="362">
      <c r="D362" s="11"/>
      <c r="F362" s="11"/>
      <c r="G362" s="16"/>
    </row>
    <row r="363">
      <c r="D363" s="11"/>
      <c r="F363" s="11"/>
      <c r="G363" s="16"/>
    </row>
    <row r="364">
      <c r="D364" s="11"/>
      <c r="F364" s="11"/>
      <c r="G364" s="16"/>
    </row>
    <row r="365">
      <c r="D365" s="11"/>
      <c r="F365" s="11"/>
      <c r="G365" s="16"/>
    </row>
    <row r="366">
      <c r="D366" s="11"/>
      <c r="F366" s="11"/>
      <c r="G366" s="16"/>
    </row>
    <row r="367">
      <c r="D367" s="11"/>
      <c r="F367" s="11"/>
      <c r="G367" s="16"/>
    </row>
    <row r="368">
      <c r="D368" s="11"/>
      <c r="F368" s="11"/>
      <c r="G368" s="16"/>
    </row>
    <row r="369">
      <c r="D369" s="11"/>
      <c r="F369" s="11"/>
      <c r="G369" s="16"/>
    </row>
    <row r="370">
      <c r="D370" s="11"/>
      <c r="F370" s="11"/>
      <c r="G370" s="16"/>
    </row>
    <row r="371">
      <c r="D371" s="11"/>
      <c r="F371" s="11"/>
      <c r="G371" s="16"/>
    </row>
    <row r="372">
      <c r="D372" s="11"/>
      <c r="F372" s="11"/>
      <c r="G372" s="16"/>
    </row>
    <row r="373">
      <c r="D373" s="11"/>
      <c r="F373" s="11"/>
      <c r="G373" s="16"/>
    </row>
    <row r="374">
      <c r="D374" s="11"/>
      <c r="F374" s="11"/>
      <c r="G374" s="16"/>
    </row>
    <row r="375">
      <c r="D375" s="11"/>
      <c r="F375" s="11"/>
      <c r="G375" s="16"/>
    </row>
    <row r="376">
      <c r="D376" s="11"/>
      <c r="F376" s="11"/>
      <c r="G376" s="16"/>
    </row>
    <row r="377">
      <c r="D377" s="11"/>
      <c r="F377" s="11"/>
      <c r="G377" s="16"/>
    </row>
    <row r="378">
      <c r="D378" s="11"/>
      <c r="F378" s="11"/>
      <c r="G378" s="16"/>
    </row>
    <row r="379">
      <c r="D379" s="11"/>
      <c r="F379" s="11"/>
      <c r="G379" s="16"/>
    </row>
    <row r="380">
      <c r="D380" s="11"/>
      <c r="F380" s="11"/>
      <c r="G380" s="16"/>
    </row>
    <row r="381">
      <c r="D381" s="11"/>
      <c r="F381" s="11"/>
      <c r="G381" s="16"/>
    </row>
    <row r="382">
      <c r="D382" s="11"/>
      <c r="F382" s="11"/>
      <c r="G382" s="16"/>
    </row>
    <row r="383">
      <c r="D383" s="11"/>
      <c r="F383" s="11"/>
      <c r="G383" s="16"/>
    </row>
    <row r="384">
      <c r="D384" s="11"/>
      <c r="F384" s="11"/>
      <c r="G384" s="16"/>
    </row>
    <row r="385">
      <c r="D385" s="11"/>
      <c r="F385" s="11"/>
      <c r="G385" s="16"/>
    </row>
    <row r="386">
      <c r="D386" s="11"/>
      <c r="F386" s="11"/>
      <c r="G386" s="16"/>
    </row>
    <row r="387">
      <c r="D387" s="11"/>
      <c r="F387" s="11"/>
      <c r="G387" s="16"/>
    </row>
    <row r="388">
      <c r="D388" s="11"/>
      <c r="F388" s="11"/>
      <c r="G388" s="16"/>
    </row>
    <row r="389">
      <c r="D389" s="11"/>
      <c r="F389" s="11"/>
      <c r="G389" s="16"/>
    </row>
    <row r="390">
      <c r="D390" s="11"/>
      <c r="F390" s="11"/>
      <c r="G390" s="16"/>
    </row>
    <row r="391">
      <c r="D391" s="11"/>
      <c r="F391" s="11"/>
      <c r="G391" s="16"/>
    </row>
    <row r="392">
      <c r="D392" s="11"/>
      <c r="F392" s="11"/>
      <c r="G392" s="16"/>
    </row>
    <row r="393">
      <c r="D393" s="11"/>
      <c r="F393" s="11"/>
      <c r="G393" s="16"/>
    </row>
    <row r="394">
      <c r="D394" s="11"/>
      <c r="F394" s="11"/>
      <c r="G394" s="16"/>
    </row>
    <row r="395">
      <c r="D395" s="11"/>
      <c r="F395" s="11"/>
      <c r="G395" s="16"/>
    </row>
    <row r="396">
      <c r="D396" s="11"/>
      <c r="F396" s="11"/>
      <c r="G396" s="16"/>
    </row>
    <row r="397">
      <c r="D397" s="11"/>
      <c r="F397" s="11"/>
      <c r="G397" s="16"/>
    </row>
    <row r="398">
      <c r="D398" s="11"/>
      <c r="F398" s="11"/>
      <c r="G398" s="16"/>
    </row>
    <row r="399">
      <c r="D399" s="11"/>
      <c r="F399" s="11"/>
      <c r="G399" s="16"/>
    </row>
    <row r="400">
      <c r="D400" s="11"/>
      <c r="F400" s="11"/>
      <c r="G400" s="16"/>
    </row>
    <row r="401">
      <c r="D401" s="11"/>
      <c r="F401" s="11"/>
      <c r="G401" s="16"/>
    </row>
    <row r="402">
      <c r="D402" s="11"/>
      <c r="F402" s="11"/>
      <c r="G402" s="16"/>
    </row>
    <row r="403">
      <c r="D403" s="11"/>
      <c r="F403" s="11"/>
      <c r="G403" s="16"/>
    </row>
    <row r="404">
      <c r="D404" s="11"/>
      <c r="F404" s="11"/>
      <c r="G404" s="16"/>
    </row>
    <row r="405">
      <c r="D405" s="11"/>
      <c r="F405" s="11"/>
      <c r="G405" s="16"/>
    </row>
    <row r="406">
      <c r="D406" s="11"/>
      <c r="F406" s="11"/>
      <c r="G406" s="16"/>
    </row>
    <row r="407">
      <c r="D407" s="11"/>
      <c r="F407" s="11"/>
      <c r="G407" s="16"/>
    </row>
    <row r="408">
      <c r="D408" s="11"/>
      <c r="F408" s="11"/>
      <c r="G408" s="16"/>
    </row>
    <row r="409">
      <c r="D409" s="11"/>
      <c r="F409" s="11"/>
      <c r="G409" s="16"/>
    </row>
    <row r="410">
      <c r="D410" s="11"/>
      <c r="F410" s="11"/>
      <c r="G410" s="16"/>
    </row>
    <row r="411">
      <c r="D411" s="11"/>
      <c r="F411" s="11"/>
      <c r="G411" s="16"/>
    </row>
    <row r="412">
      <c r="D412" s="11"/>
      <c r="F412" s="11"/>
      <c r="G412" s="16"/>
    </row>
    <row r="413">
      <c r="D413" s="11"/>
      <c r="F413" s="11"/>
      <c r="G413" s="16"/>
    </row>
    <row r="414">
      <c r="D414" s="11"/>
      <c r="F414" s="11"/>
      <c r="G414" s="16"/>
    </row>
    <row r="415">
      <c r="D415" s="11"/>
      <c r="F415" s="11"/>
      <c r="G415" s="16"/>
    </row>
    <row r="416">
      <c r="D416" s="11"/>
      <c r="F416" s="11"/>
      <c r="G416" s="16"/>
    </row>
    <row r="417">
      <c r="D417" s="11"/>
      <c r="F417" s="11"/>
      <c r="G417" s="16"/>
    </row>
    <row r="418">
      <c r="D418" s="11"/>
      <c r="F418" s="11"/>
      <c r="G418" s="16"/>
    </row>
    <row r="419">
      <c r="D419" s="11"/>
      <c r="F419" s="11"/>
      <c r="G419" s="16"/>
    </row>
    <row r="420">
      <c r="D420" s="11"/>
      <c r="F420" s="11"/>
      <c r="G420" s="16"/>
    </row>
    <row r="421">
      <c r="D421" s="11"/>
      <c r="F421" s="11"/>
      <c r="G421" s="16"/>
    </row>
    <row r="422">
      <c r="D422" s="11"/>
      <c r="F422" s="11"/>
      <c r="G422" s="16"/>
    </row>
    <row r="423">
      <c r="D423" s="11"/>
      <c r="F423" s="11"/>
      <c r="G423" s="16"/>
    </row>
    <row r="424">
      <c r="D424" s="11"/>
      <c r="F424" s="11"/>
      <c r="G424" s="16"/>
    </row>
    <row r="425">
      <c r="D425" s="11"/>
      <c r="F425" s="11"/>
      <c r="G425" s="16"/>
    </row>
    <row r="426">
      <c r="D426" s="11"/>
      <c r="F426" s="11"/>
      <c r="G426" s="16"/>
    </row>
    <row r="427">
      <c r="D427" s="11"/>
      <c r="F427" s="11"/>
      <c r="G427" s="16"/>
    </row>
    <row r="428">
      <c r="D428" s="11"/>
      <c r="F428" s="11"/>
      <c r="G428" s="16"/>
    </row>
    <row r="429">
      <c r="D429" s="11"/>
      <c r="F429" s="11"/>
      <c r="G429" s="16"/>
    </row>
    <row r="430">
      <c r="D430" s="11"/>
      <c r="F430" s="11"/>
      <c r="G430" s="16"/>
    </row>
    <row r="431">
      <c r="D431" s="11"/>
      <c r="F431" s="11"/>
      <c r="G431" s="16"/>
    </row>
    <row r="432">
      <c r="D432" s="11"/>
      <c r="F432" s="11"/>
      <c r="G432" s="16"/>
    </row>
    <row r="433">
      <c r="D433" s="11"/>
      <c r="F433" s="11"/>
      <c r="G433" s="16"/>
    </row>
    <row r="434">
      <c r="D434" s="11"/>
      <c r="F434" s="11"/>
      <c r="G434" s="16"/>
    </row>
    <row r="435">
      <c r="D435" s="11"/>
      <c r="F435" s="11"/>
      <c r="G435" s="16"/>
    </row>
    <row r="436">
      <c r="D436" s="11"/>
      <c r="F436" s="11"/>
      <c r="G436" s="16"/>
    </row>
    <row r="437">
      <c r="D437" s="11"/>
      <c r="F437" s="11"/>
      <c r="G437" s="16"/>
    </row>
    <row r="438">
      <c r="D438" s="11"/>
      <c r="F438" s="11"/>
      <c r="G438" s="16"/>
    </row>
    <row r="439">
      <c r="D439" s="11"/>
      <c r="F439" s="11"/>
      <c r="G439" s="16"/>
    </row>
    <row r="440">
      <c r="D440" s="11"/>
      <c r="F440" s="11"/>
      <c r="G440" s="16"/>
    </row>
    <row r="441">
      <c r="D441" s="11"/>
      <c r="F441" s="11"/>
      <c r="G441" s="16"/>
    </row>
    <row r="442">
      <c r="D442" s="11"/>
      <c r="F442" s="11"/>
      <c r="G442" s="16"/>
    </row>
    <row r="443">
      <c r="D443" s="11"/>
      <c r="F443" s="11"/>
      <c r="G443" s="16"/>
    </row>
    <row r="444">
      <c r="D444" s="11"/>
      <c r="F444" s="11"/>
      <c r="G444" s="16"/>
    </row>
    <row r="445">
      <c r="D445" s="11"/>
      <c r="F445" s="11"/>
      <c r="G445" s="16"/>
    </row>
    <row r="446">
      <c r="D446" s="11"/>
      <c r="F446" s="11"/>
      <c r="G446" s="16"/>
    </row>
    <row r="447">
      <c r="D447" s="11"/>
      <c r="F447" s="11"/>
      <c r="G447" s="16"/>
    </row>
    <row r="448">
      <c r="D448" s="11"/>
      <c r="F448" s="11"/>
      <c r="G448" s="16"/>
    </row>
    <row r="449">
      <c r="D449" s="11"/>
      <c r="F449" s="11"/>
      <c r="G449" s="16"/>
    </row>
    <row r="450">
      <c r="D450" s="11"/>
      <c r="F450" s="11"/>
      <c r="G450" s="16"/>
    </row>
    <row r="451">
      <c r="D451" s="11"/>
      <c r="F451" s="11"/>
      <c r="G451" s="16"/>
    </row>
    <row r="452">
      <c r="D452" s="11"/>
      <c r="F452" s="11"/>
      <c r="G452" s="16"/>
    </row>
    <row r="453">
      <c r="D453" s="11"/>
      <c r="F453" s="11"/>
      <c r="G453" s="16"/>
    </row>
    <row r="454">
      <c r="D454" s="11"/>
      <c r="F454" s="11"/>
      <c r="G454" s="16"/>
    </row>
    <row r="455">
      <c r="D455" s="11"/>
      <c r="F455" s="11"/>
      <c r="G455" s="16"/>
    </row>
    <row r="456">
      <c r="D456" s="11"/>
      <c r="F456" s="11"/>
      <c r="G456" s="16"/>
    </row>
    <row r="457">
      <c r="D457" s="11"/>
      <c r="F457" s="11"/>
      <c r="G457" s="16"/>
    </row>
    <row r="458">
      <c r="D458" s="11"/>
      <c r="F458" s="11"/>
      <c r="G458" s="16"/>
    </row>
    <row r="459">
      <c r="D459" s="11"/>
      <c r="F459" s="11"/>
      <c r="G459" s="16"/>
    </row>
    <row r="460">
      <c r="D460" s="11"/>
      <c r="F460" s="11"/>
      <c r="G460" s="16"/>
    </row>
    <row r="461">
      <c r="D461" s="11"/>
      <c r="F461" s="11"/>
      <c r="G461" s="16"/>
    </row>
    <row r="462">
      <c r="D462" s="11"/>
      <c r="F462" s="11"/>
      <c r="G462" s="16"/>
    </row>
    <row r="463">
      <c r="D463" s="11"/>
      <c r="F463" s="11"/>
      <c r="G463" s="16"/>
    </row>
    <row r="464">
      <c r="D464" s="11"/>
      <c r="F464" s="11"/>
      <c r="G464" s="16"/>
    </row>
    <row r="465">
      <c r="D465" s="11"/>
      <c r="F465" s="11"/>
      <c r="G465" s="16"/>
    </row>
    <row r="466">
      <c r="D466" s="11"/>
      <c r="F466" s="11"/>
      <c r="G466" s="16"/>
    </row>
    <row r="467">
      <c r="D467" s="11"/>
      <c r="F467" s="11"/>
      <c r="G467" s="16"/>
    </row>
    <row r="468">
      <c r="D468" s="11"/>
      <c r="F468" s="11"/>
      <c r="G468" s="16"/>
    </row>
    <row r="469">
      <c r="D469" s="11"/>
      <c r="F469" s="11"/>
      <c r="G469" s="16"/>
    </row>
    <row r="470">
      <c r="D470" s="11"/>
      <c r="F470" s="11"/>
      <c r="G470" s="16"/>
    </row>
    <row r="471">
      <c r="D471" s="11"/>
      <c r="F471" s="11"/>
      <c r="G471" s="16"/>
    </row>
    <row r="472">
      <c r="D472" s="11"/>
      <c r="F472" s="11"/>
      <c r="G472" s="16"/>
    </row>
    <row r="473">
      <c r="D473" s="11"/>
      <c r="F473" s="11"/>
      <c r="G473" s="16"/>
    </row>
    <row r="474">
      <c r="D474" s="11"/>
      <c r="F474" s="11"/>
      <c r="G474" s="16"/>
    </row>
    <row r="475">
      <c r="D475" s="11"/>
      <c r="F475" s="11"/>
      <c r="G475" s="16"/>
    </row>
    <row r="476">
      <c r="D476" s="11"/>
      <c r="F476" s="11"/>
      <c r="G476" s="16"/>
    </row>
    <row r="477">
      <c r="D477" s="11"/>
      <c r="F477" s="11"/>
      <c r="G477" s="16"/>
    </row>
    <row r="478">
      <c r="D478" s="11"/>
      <c r="F478" s="11"/>
      <c r="G478" s="16"/>
    </row>
    <row r="479">
      <c r="D479" s="11"/>
      <c r="F479" s="11"/>
      <c r="G479" s="16"/>
    </row>
    <row r="480">
      <c r="D480" s="11"/>
      <c r="F480" s="11"/>
      <c r="G480" s="16"/>
    </row>
    <row r="481">
      <c r="D481" s="11"/>
      <c r="F481" s="11"/>
      <c r="G481" s="16"/>
    </row>
    <row r="482">
      <c r="D482" s="11"/>
      <c r="F482" s="11"/>
      <c r="G482" s="16"/>
    </row>
    <row r="483">
      <c r="D483" s="11"/>
      <c r="F483" s="11"/>
      <c r="G483" s="16"/>
    </row>
    <row r="484">
      <c r="D484" s="11"/>
      <c r="F484" s="11"/>
      <c r="G484" s="16"/>
    </row>
    <row r="485">
      <c r="D485" s="11"/>
      <c r="F485" s="11"/>
      <c r="G485" s="16"/>
    </row>
    <row r="486">
      <c r="D486" s="11"/>
      <c r="F486" s="11"/>
      <c r="G486" s="16"/>
    </row>
    <row r="487">
      <c r="D487" s="11"/>
      <c r="F487" s="11"/>
      <c r="G487" s="16"/>
    </row>
    <row r="488">
      <c r="D488" s="11"/>
      <c r="F488" s="11"/>
      <c r="G488" s="16"/>
    </row>
    <row r="489">
      <c r="D489" s="11"/>
      <c r="F489" s="11"/>
      <c r="G489" s="16"/>
    </row>
    <row r="490">
      <c r="D490" s="11"/>
      <c r="F490" s="11"/>
      <c r="G490" s="16"/>
    </row>
    <row r="491">
      <c r="D491" s="11"/>
      <c r="F491" s="11"/>
      <c r="G491" s="16"/>
    </row>
    <row r="492">
      <c r="D492" s="11"/>
      <c r="F492" s="11"/>
      <c r="G492" s="16"/>
    </row>
    <row r="493">
      <c r="D493" s="11"/>
      <c r="F493" s="11"/>
      <c r="G493" s="16"/>
    </row>
    <row r="494">
      <c r="D494" s="11"/>
      <c r="F494" s="11"/>
      <c r="G494" s="16"/>
    </row>
    <row r="495">
      <c r="D495" s="11"/>
      <c r="F495" s="11"/>
      <c r="G495" s="16"/>
    </row>
    <row r="496">
      <c r="D496" s="11"/>
      <c r="F496" s="11"/>
      <c r="G496" s="16"/>
    </row>
    <row r="497">
      <c r="D497" s="11"/>
      <c r="F497" s="11"/>
      <c r="G497" s="16"/>
    </row>
    <row r="498">
      <c r="D498" s="11"/>
      <c r="F498" s="11"/>
      <c r="G498" s="16"/>
    </row>
    <row r="499">
      <c r="D499" s="11"/>
      <c r="F499" s="11"/>
      <c r="G499" s="16"/>
    </row>
    <row r="500">
      <c r="D500" s="11"/>
      <c r="F500" s="11"/>
      <c r="G500" s="16"/>
    </row>
    <row r="501">
      <c r="D501" s="11"/>
      <c r="F501" s="11"/>
      <c r="G501" s="16"/>
    </row>
    <row r="502">
      <c r="D502" s="11"/>
      <c r="F502" s="11"/>
      <c r="G502" s="16"/>
    </row>
    <row r="503">
      <c r="D503" s="11"/>
      <c r="F503" s="11"/>
      <c r="G503" s="16"/>
    </row>
    <row r="504">
      <c r="D504" s="11"/>
      <c r="F504" s="11"/>
      <c r="G504" s="16"/>
    </row>
    <row r="505">
      <c r="D505" s="11"/>
      <c r="F505" s="11"/>
      <c r="G505" s="16"/>
    </row>
    <row r="506">
      <c r="D506" s="11"/>
      <c r="F506" s="11"/>
      <c r="G506" s="16"/>
    </row>
    <row r="507">
      <c r="D507" s="11"/>
      <c r="F507" s="11"/>
      <c r="G507" s="16"/>
    </row>
    <row r="508">
      <c r="D508" s="11"/>
      <c r="F508" s="11"/>
      <c r="G508" s="16"/>
    </row>
    <row r="509">
      <c r="D509" s="11"/>
      <c r="F509" s="11"/>
      <c r="G509" s="16"/>
    </row>
    <row r="510">
      <c r="D510" s="11"/>
      <c r="F510" s="11"/>
      <c r="G510" s="16"/>
    </row>
    <row r="511">
      <c r="D511" s="11"/>
      <c r="F511" s="11"/>
      <c r="G511" s="16"/>
    </row>
    <row r="512">
      <c r="D512" s="11"/>
      <c r="F512" s="11"/>
      <c r="G512" s="16"/>
    </row>
    <row r="513">
      <c r="D513" s="11"/>
      <c r="F513" s="11"/>
      <c r="G513" s="16"/>
    </row>
    <row r="514">
      <c r="D514" s="11"/>
      <c r="F514" s="11"/>
      <c r="G514" s="16"/>
    </row>
    <row r="515">
      <c r="D515" s="11"/>
      <c r="F515" s="11"/>
      <c r="G515" s="16"/>
    </row>
    <row r="516">
      <c r="D516" s="11"/>
      <c r="F516" s="11"/>
      <c r="G516" s="16"/>
    </row>
    <row r="517">
      <c r="D517" s="11"/>
      <c r="F517" s="11"/>
      <c r="G517" s="16"/>
    </row>
    <row r="518">
      <c r="D518" s="11"/>
      <c r="F518" s="11"/>
      <c r="G518" s="16"/>
    </row>
    <row r="519">
      <c r="D519" s="11"/>
      <c r="F519" s="11"/>
      <c r="G519" s="16"/>
    </row>
    <row r="520">
      <c r="D520" s="11"/>
      <c r="F520" s="11"/>
      <c r="G520" s="16"/>
    </row>
    <row r="521">
      <c r="D521" s="11"/>
      <c r="F521" s="11"/>
      <c r="G521" s="16"/>
    </row>
    <row r="522">
      <c r="D522" s="11"/>
      <c r="F522" s="11"/>
      <c r="G522" s="16"/>
    </row>
    <row r="523">
      <c r="D523" s="11"/>
      <c r="F523" s="11"/>
      <c r="G523" s="16"/>
    </row>
    <row r="524">
      <c r="D524" s="11"/>
      <c r="F524" s="11"/>
      <c r="G524" s="16"/>
    </row>
    <row r="525">
      <c r="D525" s="11"/>
      <c r="F525" s="11"/>
      <c r="G525" s="16"/>
    </row>
    <row r="526">
      <c r="D526" s="11"/>
      <c r="F526" s="11"/>
      <c r="G526" s="16"/>
    </row>
    <row r="527">
      <c r="D527" s="11"/>
      <c r="F527" s="11"/>
      <c r="G527" s="16"/>
    </row>
    <row r="528">
      <c r="D528" s="11"/>
      <c r="F528" s="11"/>
      <c r="G528" s="16"/>
    </row>
    <row r="529">
      <c r="D529" s="11"/>
      <c r="F529" s="11"/>
      <c r="G529" s="16"/>
    </row>
    <row r="530">
      <c r="D530" s="11"/>
      <c r="F530" s="11"/>
      <c r="G530" s="16"/>
    </row>
    <row r="531">
      <c r="D531" s="11"/>
      <c r="F531" s="11"/>
      <c r="G531" s="16"/>
    </row>
    <row r="532">
      <c r="D532" s="11"/>
      <c r="F532" s="11"/>
      <c r="G532" s="16"/>
    </row>
    <row r="533">
      <c r="D533" s="11"/>
      <c r="F533" s="11"/>
      <c r="G533" s="16"/>
    </row>
    <row r="534">
      <c r="D534" s="11"/>
      <c r="F534" s="11"/>
      <c r="G534" s="16"/>
    </row>
    <row r="535">
      <c r="D535" s="11"/>
      <c r="F535" s="11"/>
      <c r="G535" s="16"/>
    </row>
    <row r="536">
      <c r="D536" s="11"/>
      <c r="F536" s="11"/>
      <c r="G536" s="16"/>
    </row>
    <row r="537">
      <c r="D537" s="11"/>
      <c r="F537" s="11"/>
      <c r="G537" s="16"/>
    </row>
    <row r="538">
      <c r="D538" s="11"/>
      <c r="F538" s="11"/>
      <c r="G538" s="16"/>
    </row>
    <row r="539">
      <c r="D539" s="11"/>
      <c r="F539" s="11"/>
      <c r="G539" s="16"/>
    </row>
    <row r="540">
      <c r="D540" s="11"/>
      <c r="F540" s="11"/>
      <c r="G540" s="16"/>
    </row>
    <row r="541">
      <c r="D541" s="11"/>
      <c r="F541" s="11"/>
      <c r="G541" s="16"/>
    </row>
    <row r="542">
      <c r="D542" s="11"/>
      <c r="F542" s="11"/>
      <c r="G542" s="16"/>
    </row>
    <row r="543">
      <c r="D543" s="11"/>
      <c r="F543" s="11"/>
      <c r="G543" s="16"/>
    </row>
    <row r="544">
      <c r="D544" s="11"/>
      <c r="F544" s="11"/>
      <c r="G544" s="16"/>
    </row>
    <row r="545">
      <c r="D545" s="11"/>
      <c r="F545" s="11"/>
      <c r="G545" s="16"/>
    </row>
    <row r="546">
      <c r="D546" s="11"/>
      <c r="F546" s="11"/>
      <c r="G546" s="16"/>
    </row>
    <row r="547">
      <c r="D547" s="11"/>
      <c r="F547" s="11"/>
      <c r="G547" s="16"/>
    </row>
    <row r="548">
      <c r="D548" s="11"/>
      <c r="F548" s="11"/>
      <c r="G548" s="16"/>
    </row>
    <row r="549">
      <c r="D549" s="11"/>
      <c r="F549" s="11"/>
      <c r="G549" s="16"/>
    </row>
    <row r="550">
      <c r="D550" s="11"/>
      <c r="F550" s="11"/>
      <c r="G550" s="16"/>
    </row>
    <row r="551">
      <c r="D551" s="11"/>
      <c r="F551" s="11"/>
      <c r="G551" s="16"/>
    </row>
    <row r="552">
      <c r="D552" s="11"/>
      <c r="F552" s="11"/>
      <c r="G552" s="16"/>
    </row>
    <row r="553">
      <c r="D553" s="11"/>
      <c r="F553" s="11"/>
      <c r="G553" s="16"/>
    </row>
    <row r="554">
      <c r="D554" s="11"/>
      <c r="F554" s="11"/>
      <c r="G554" s="16"/>
    </row>
    <row r="555">
      <c r="D555" s="11"/>
      <c r="F555" s="11"/>
      <c r="G555" s="16"/>
    </row>
    <row r="556">
      <c r="D556" s="11"/>
      <c r="F556" s="11"/>
      <c r="G556" s="16"/>
    </row>
    <row r="557">
      <c r="D557" s="11"/>
      <c r="F557" s="11"/>
      <c r="G557" s="16"/>
    </row>
    <row r="558">
      <c r="D558" s="11"/>
      <c r="F558" s="11"/>
      <c r="G558" s="16"/>
    </row>
    <row r="559">
      <c r="D559" s="11"/>
      <c r="F559" s="11"/>
      <c r="G559" s="16"/>
    </row>
    <row r="560">
      <c r="D560" s="11"/>
      <c r="F560" s="11"/>
      <c r="G560" s="16"/>
    </row>
    <row r="561">
      <c r="D561" s="11"/>
      <c r="F561" s="11"/>
      <c r="G561" s="16"/>
    </row>
    <row r="562">
      <c r="D562" s="11"/>
      <c r="F562" s="11"/>
      <c r="G562" s="16"/>
    </row>
    <row r="563">
      <c r="D563" s="11"/>
      <c r="F563" s="11"/>
      <c r="G563" s="16"/>
    </row>
    <row r="564">
      <c r="D564" s="11"/>
      <c r="F564" s="11"/>
      <c r="G564" s="16"/>
    </row>
    <row r="565">
      <c r="D565" s="11"/>
      <c r="F565" s="11"/>
      <c r="G565" s="16"/>
    </row>
    <row r="566">
      <c r="D566" s="11"/>
      <c r="F566" s="11"/>
      <c r="G566" s="16"/>
    </row>
    <row r="567">
      <c r="D567" s="11"/>
      <c r="F567" s="11"/>
      <c r="G567" s="16"/>
    </row>
    <row r="568">
      <c r="D568" s="11"/>
      <c r="F568" s="11"/>
      <c r="G568" s="16"/>
    </row>
    <row r="569">
      <c r="D569" s="11"/>
      <c r="F569" s="11"/>
      <c r="G569" s="16"/>
    </row>
    <row r="570">
      <c r="D570" s="11"/>
      <c r="F570" s="11"/>
      <c r="G570" s="16"/>
    </row>
    <row r="571">
      <c r="D571" s="11"/>
      <c r="F571" s="11"/>
      <c r="G571" s="16"/>
    </row>
    <row r="572">
      <c r="D572" s="11"/>
      <c r="F572" s="11"/>
      <c r="G572" s="16"/>
    </row>
    <row r="573">
      <c r="D573" s="11"/>
      <c r="F573" s="11"/>
      <c r="G573" s="16"/>
    </row>
    <row r="574">
      <c r="D574" s="11"/>
      <c r="F574" s="11"/>
      <c r="G574" s="16"/>
    </row>
    <row r="575">
      <c r="D575" s="11"/>
      <c r="F575" s="11"/>
      <c r="G575" s="16"/>
    </row>
    <row r="576">
      <c r="D576" s="11"/>
      <c r="F576" s="11"/>
      <c r="G576" s="16"/>
    </row>
    <row r="577">
      <c r="D577" s="11"/>
      <c r="F577" s="11"/>
      <c r="G577" s="16"/>
    </row>
    <row r="578">
      <c r="D578" s="11"/>
      <c r="F578" s="11"/>
      <c r="G578" s="16"/>
    </row>
    <row r="579">
      <c r="D579" s="11"/>
      <c r="F579" s="11"/>
      <c r="G579" s="16"/>
    </row>
    <row r="580">
      <c r="D580" s="11"/>
      <c r="F580" s="11"/>
      <c r="G580" s="16"/>
    </row>
    <row r="581">
      <c r="D581" s="11"/>
      <c r="F581" s="11"/>
      <c r="G581" s="16"/>
    </row>
    <row r="582">
      <c r="D582" s="11"/>
      <c r="F582" s="11"/>
      <c r="G582" s="16"/>
    </row>
    <row r="583">
      <c r="D583" s="11"/>
      <c r="F583" s="11"/>
      <c r="G583" s="16"/>
    </row>
    <row r="584">
      <c r="D584" s="11"/>
      <c r="F584" s="11"/>
      <c r="G584" s="16"/>
    </row>
    <row r="585">
      <c r="D585" s="11"/>
      <c r="F585" s="11"/>
      <c r="G585" s="16"/>
    </row>
    <row r="586">
      <c r="D586" s="11"/>
      <c r="F586" s="11"/>
      <c r="G586" s="16"/>
    </row>
    <row r="587">
      <c r="D587" s="11"/>
      <c r="F587" s="11"/>
      <c r="G587" s="16"/>
    </row>
    <row r="588">
      <c r="D588" s="11"/>
      <c r="F588" s="11"/>
      <c r="G588" s="16"/>
    </row>
    <row r="589">
      <c r="D589" s="11"/>
      <c r="F589" s="11"/>
      <c r="G589" s="16"/>
    </row>
    <row r="590">
      <c r="D590" s="11"/>
      <c r="F590" s="11"/>
      <c r="G590" s="16"/>
    </row>
    <row r="591">
      <c r="D591" s="11"/>
      <c r="F591" s="11"/>
      <c r="G591" s="16"/>
    </row>
    <row r="592">
      <c r="D592" s="11"/>
      <c r="F592" s="11"/>
      <c r="G592" s="16"/>
    </row>
    <row r="593">
      <c r="D593" s="11"/>
      <c r="F593" s="11"/>
      <c r="G593" s="16"/>
    </row>
    <row r="594">
      <c r="D594" s="11"/>
      <c r="F594" s="11"/>
      <c r="G594" s="16"/>
    </row>
    <row r="595">
      <c r="D595" s="11"/>
      <c r="F595" s="11"/>
      <c r="G595" s="16"/>
    </row>
    <row r="596">
      <c r="D596" s="11"/>
      <c r="F596" s="11"/>
      <c r="G596" s="16"/>
    </row>
    <row r="597">
      <c r="D597" s="11"/>
      <c r="F597" s="11"/>
      <c r="G597" s="16"/>
    </row>
    <row r="598">
      <c r="D598" s="11"/>
      <c r="F598" s="11"/>
      <c r="G598" s="16"/>
    </row>
    <row r="599">
      <c r="D599" s="11"/>
      <c r="F599" s="11"/>
      <c r="G599" s="16"/>
    </row>
    <row r="600">
      <c r="D600" s="11"/>
      <c r="F600" s="11"/>
      <c r="G600" s="16"/>
    </row>
    <row r="601">
      <c r="D601" s="11"/>
      <c r="F601" s="11"/>
      <c r="G601" s="16"/>
    </row>
    <row r="602">
      <c r="D602" s="11"/>
      <c r="F602" s="11"/>
      <c r="G602" s="16"/>
    </row>
    <row r="603">
      <c r="D603" s="11"/>
      <c r="F603" s="11"/>
      <c r="G603" s="16"/>
    </row>
    <row r="604">
      <c r="D604" s="11"/>
      <c r="F604" s="11"/>
      <c r="G604" s="16"/>
    </row>
    <row r="605">
      <c r="D605" s="11"/>
      <c r="F605" s="11"/>
      <c r="G605" s="16"/>
    </row>
    <row r="606">
      <c r="D606" s="11"/>
      <c r="F606" s="11"/>
      <c r="G606" s="16"/>
    </row>
    <row r="607">
      <c r="D607" s="11"/>
      <c r="F607" s="11"/>
      <c r="G607" s="16"/>
    </row>
    <row r="608">
      <c r="D608" s="11"/>
      <c r="F608" s="11"/>
      <c r="G608" s="16"/>
    </row>
    <row r="609">
      <c r="D609" s="11"/>
      <c r="F609" s="11"/>
      <c r="G609" s="16"/>
    </row>
    <row r="610">
      <c r="D610" s="11"/>
      <c r="F610" s="11"/>
      <c r="G610" s="16"/>
    </row>
    <row r="611">
      <c r="D611" s="11"/>
      <c r="F611" s="11"/>
      <c r="G611" s="16"/>
    </row>
    <row r="612">
      <c r="D612" s="11"/>
      <c r="F612" s="11"/>
      <c r="G612" s="16"/>
    </row>
    <row r="613">
      <c r="D613" s="11"/>
      <c r="F613" s="11"/>
      <c r="G613" s="16"/>
    </row>
    <row r="614">
      <c r="D614" s="11"/>
      <c r="F614" s="11"/>
      <c r="G614" s="16"/>
    </row>
    <row r="615">
      <c r="D615" s="11"/>
      <c r="F615" s="11"/>
      <c r="G615" s="16"/>
    </row>
    <row r="616">
      <c r="D616" s="11"/>
      <c r="F616" s="11"/>
      <c r="G616" s="16"/>
    </row>
    <row r="617">
      <c r="D617" s="11"/>
      <c r="F617" s="11"/>
      <c r="G617" s="16"/>
    </row>
    <row r="618">
      <c r="D618" s="11"/>
      <c r="F618" s="11"/>
      <c r="G618" s="16"/>
    </row>
    <row r="619">
      <c r="D619" s="11"/>
      <c r="F619" s="11"/>
      <c r="G619" s="16"/>
    </row>
    <row r="620">
      <c r="D620" s="11"/>
      <c r="F620" s="11"/>
      <c r="G620" s="16"/>
    </row>
    <row r="621">
      <c r="D621" s="11"/>
      <c r="F621" s="11"/>
      <c r="G621" s="16"/>
    </row>
    <row r="622">
      <c r="D622" s="11"/>
      <c r="F622" s="11"/>
      <c r="G622" s="16"/>
    </row>
    <row r="623">
      <c r="D623" s="11"/>
      <c r="F623" s="11"/>
      <c r="G623" s="16"/>
    </row>
    <row r="624">
      <c r="D624" s="11"/>
      <c r="F624" s="11"/>
      <c r="G624" s="16"/>
    </row>
    <row r="625">
      <c r="D625" s="11"/>
      <c r="F625" s="11"/>
      <c r="G625" s="16"/>
    </row>
    <row r="626">
      <c r="D626" s="11"/>
      <c r="F626" s="11"/>
      <c r="G626" s="16"/>
    </row>
    <row r="627">
      <c r="D627" s="11"/>
      <c r="F627" s="11"/>
      <c r="G627" s="16"/>
    </row>
    <row r="628">
      <c r="D628" s="11"/>
      <c r="F628" s="11"/>
      <c r="G628" s="16"/>
    </row>
    <row r="629">
      <c r="D629" s="11"/>
      <c r="F629" s="11"/>
      <c r="G629" s="16"/>
    </row>
    <row r="630">
      <c r="D630" s="11"/>
      <c r="F630" s="11"/>
      <c r="G630" s="16"/>
    </row>
    <row r="631">
      <c r="D631" s="11"/>
      <c r="F631" s="11"/>
      <c r="G631" s="16"/>
    </row>
    <row r="632">
      <c r="D632" s="11"/>
      <c r="F632" s="11"/>
      <c r="G632" s="16"/>
    </row>
    <row r="633">
      <c r="D633" s="11"/>
      <c r="F633" s="11"/>
      <c r="G633" s="16"/>
    </row>
    <row r="634">
      <c r="D634" s="11"/>
      <c r="F634" s="11"/>
      <c r="G634" s="16"/>
    </row>
    <row r="635">
      <c r="D635" s="11"/>
      <c r="F635" s="11"/>
      <c r="G635" s="16"/>
    </row>
    <row r="636">
      <c r="D636" s="11"/>
      <c r="F636" s="11"/>
      <c r="G636" s="16"/>
    </row>
    <row r="637">
      <c r="D637" s="11"/>
      <c r="F637" s="11"/>
      <c r="G637" s="16"/>
    </row>
    <row r="638">
      <c r="D638" s="11"/>
      <c r="F638" s="11"/>
      <c r="G638" s="16"/>
    </row>
    <row r="639">
      <c r="D639" s="11"/>
      <c r="F639" s="11"/>
      <c r="G639" s="16"/>
    </row>
    <row r="640">
      <c r="D640" s="11"/>
      <c r="F640" s="11"/>
      <c r="G640" s="16"/>
    </row>
    <row r="641">
      <c r="D641" s="11"/>
      <c r="F641" s="11"/>
      <c r="G641" s="16"/>
    </row>
    <row r="642">
      <c r="D642" s="11"/>
      <c r="F642" s="11"/>
      <c r="G642" s="16"/>
    </row>
    <row r="643">
      <c r="D643" s="11"/>
      <c r="F643" s="11"/>
      <c r="G643" s="16"/>
    </row>
    <row r="644">
      <c r="D644" s="11"/>
      <c r="F644" s="11"/>
      <c r="G644" s="16"/>
    </row>
    <row r="645">
      <c r="D645" s="11"/>
      <c r="F645" s="11"/>
      <c r="G645" s="16"/>
    </row>
    <row r="646">
      <c r="D646" s="11"/>
      <c r="F646" s="11"/>
      <c r="G646" s="16"/>
    </row>
    <row r="647">
      <c r="D647" s="11"/>
      <c r="F647" s="11"/>
      <c r="G647" s="16"/>
    </row>
    <row r="648">
      <c r="D648" s="11"/>
      <c r="F648" s="11"/>
      <c r="G648" s="16"/>
    </row>
    <row r="649">
      <c r="D649" s="11"/>
      <c r="F649" s="11"/>
      <c r="G649" s="16"/>
    </row>
    <row r="650">
      <c r="D650" s="11"/>
      <c r="F650" s="11"/>
      <c r="G650" s="16"/>
    </row>
    <row r="651">
      <c r="D651" s="11"/>
      <c r="F651" s="11"/>
      <c r="G651" s="16"/>
    </row>
    <row r="652">
      <c r="D652" s="11"/>
      <c r="F652" s="11"/>
      <c r="G652" s="16"/>
    </row>
    <row r="653">
      <c r="D653" s="11"/>
      <c r="F653" s="11"/>
      <c r="G653" s="16"/>
    </row>
    <row r="654">
      <c r="D654" s="11"/>
      <c r="F654" s="11"/>
      <c r="G654" s="16"/>
    </row>
    <row r="655">
      <c r="D655" s="11"/>
      <c r="F655" s="11"/>
      <c r="G655" s="16"/>
    </row>
    <row r="656">
      <c r="D656" s="11"/>
      <c r="F656" s="11"/>
      <c r="G656" s="16"/>
    </row>
    <row r="657">
      <c r="D657" s="11"/>
      <c r="F657" s="11"/>
      <c r="G657" s="16"/>
    </row>
    <row r="658">
      <c r="D658" s="11"/>
      <c r="F658" s="11"/>
      <c r="G658" s="16"/>
    </row>
    <row r="659">
      <c r="D659" s="11"/>
      <c r="F659" s="11"/>
      <c r="G659" s="16"/>
    </row>
    <row r="660">
      <c r="D660" s="11"/>
      <c r="F660" s="11"/>
      <c r="G660" s="16"/>
    </row>
    <row r="661">
      <c r="D661" s="11"/>
      <c r="F661" s="11"/>
      <c r="G661" s="16"/>
    </row>
    <row r="662">
      <c r="D662" s="11"/>
      <c r="F662" s="11"/>
      <c r="G662" s="16"/>
    </row>
    <row r="663">
      <c r="D663" s="11"/>
      <c r="F663" s="11"/>
      <c r="G663" s="16"/>
    </row>
    <row r="664">
      <c r="D664" s="11"/>
      <c r="F664" s="11"/>
      <c r="G664" s="16"/>
    </row>
    <row r="665">
      <c r="D665" s="11"/>
      <c r="F665" s="11"/>
      <c r="G665" s="16"/>
    </row>
    <row r="666">
      <c r="D666" s="11"/>
      <c r="F666" s="11"/>
      <c r="G666" s="16"/>
    </row>
    <row r="667">
      <c r="D667" s="11"/>
      <c r="F667" s="11"/>
      <c r="G667" s="16"/>
    </row>
    <row r="668">
      <c r="D668" s="11"/>
      <c r="F668" s="11"/>
      <c r="G668" s="16"/>
    </row>
    <row r="669">
      <c r="D669" s="11"/>
      <c r="F669" s="11"/>
      <c r="G669" s="16"/>
    </row>
    <row r="670">
      <c r="D670" s="11"/>
      <c r="F670" s="11"/>
      <c r="G670" s="16"/>
    </row>
    <row r="671">
      <c r="D671" s="11"/>
      <c r="F671" s="11"/>
      <c r="G671" s="16"/>
    </row>
    <row r="672">
      <c r="D672" s="11"/>
      <c r="F672" s="11"/>
      <c r="G672" s="16"/>
    </row>
    <row r="673">
      <c r="D673" s="11"/>
      <c r="F673" s="11"/>
      <c r="G673" s="16"/>
    </row>
    <row r="674">
      <c r="D674" s="11"/>
      <c r="F674" s="11"/>
      <c r="G674" s="16"/>
    </row>
    <row r="675">
      <c r="D675" s="11"/>
      <c r="F675" s="11"/>
      <c r="G675" s="16"/>
    </row>
    <row r="676">
      <c r="D676" s="11"/>
      <c r="F676" s="11"/>
      <c r="G676" s="16"/>
    </row>
    <row r="677">
      <c r="D677" s="11"/>
      <c r="F677" s="11"/>
      <c r="G677" s="16"/>
    </row>
    <row r="678">
      <c r="D678" s="11"/>
      <c r="F678" s="11"/>
      <c r="G678" s="16"/>
    </row>
    <row r="679">
      <c r="D679" s="11"/>
      <c r="F679" s="11"/>
      <c r="G679" s="16"/>
    </row>
    <row r="680">
      <c r="D680" s="11"/>
      <c r="F680" s="11"/>
      <c r="G680" s="16"/>
    </row>
    <row r="681">
      <c r="D681" s="11"/>
      <c r="F681" s="11"/>
      <c r="G681" s="16"/>
    </row>
    <row r="682">
      <c r="D682" s="11"/>
      <c r="F682" s="11"/>
      <c r="G682" s="16"/>
    </row>
    <row r="683">
      <c r="D683" s="11"/>
      <c r="F683" s="11"/>
      <c r="G683" s="16"/>
    </row>
    <row r="684">
      <c r="D684" s="11"/>
      <c r="F684" s="11"/>
      <c r="G684" s="16"/>
    </row>
    <row r="685">
      <c r="D685" s="11"/>
      <c r="F685" s="11"/>
      <c r="G685" s="16"/>
    </row>
    <row r="686">
      <c r="D686" s="11"/>
      <c r="F686" s="11"/>
      <c r="G686" s="16"/>
    </row>
    <row r="687">
      <c r="D687" s="11"/>
      <c r="F687" s="11"/>
      <c r="G687" s="16"/>
    </row>
    <row r="688">
      <c r="D688" s="11"/>
      <c r="F688" s="11"/>
      <c r="G688" s="16"/>
    </row>
    <row r="689">
      <c r="D689" s="11"/>
      <c r="F689" s="11"/>
      <c r="G689" s="16"/>
    </row>
    <row r="690">
      <c r="D690" s="11"/>
      <c r="F690" s="11"/>
      <c r="G690" s="16"/>
    </row>
    <row r="691">
      <c r="D691" s="11"/>
      <c r="F691" s="11"/>
      <c r="G691" s="16"/>
    </row>
    <row r="692">
      <c r="D692" s="11"/>
      <c r="F692" s="11"/>
      <c r="G692" s="16"/>
    </row>
    <row r="693">
      <c r="D693" s="11"/>
      <c r="F693" s="11"/>
      <c r="G693" s="16"/>
    </row>
    <row r="694">
      <c r="D694" s="11"/>
      <c r="F694" s="11"/>
      <c r="G694" s="16"/>
    </row>
    <row r="695">
      <c r="D695" s="11"/>
      <c r="F695" s="11"/>
      <c r="G695" s="16"/>
    </row>
    <row r="696">
      <c r="D696" s="11"/>
      <c r="F696" s="11"/>
      <c r="G696" s="16"/>
    </row>
    <row r="697">
      <c r="D697" s="11"/>
      <c r="F697" s="11"/>
      <c r="G697" s="16"/>
    </row>
    <row r="698">
      <c r="D698" s="11"/>
      <c r="F698" s="11"/>
      <c r="G698" s="16"/>
    </row>
    <row r="699">
      <c r="D699" s="11"/>
      <c r="F699" s="11"/>
      <c r="G699" s="16"/>
    </row>
    <row r="700">
      <c r="D700" s="11"/>
      <c r="F700" s="11"/>
      <c r="G700" s="16"/>
    </row>
    <row r="701">
      <c r="D701" s="11"/>
      <c r="F701" s="11"/>
      <c r="G701" s="16"/>
    </row>
    <row r="702">
      <c r="D702" s="11"/>
      <c r="F702" s="11"/>
      <c r="G702" s="16"/>
    </row>
    <row r="703">
      <c r="D703" s="11"/>
      <c r="F703" s="11"/>
      <c r="G703" s="16"/>
    </row>
    <row r="704">
      <c r="D704" s="11"/>
      <c r="F704" s="11"/>
      <c r="G704" s="16"/>
    </row>
    <row r="705">
      <c r="D705" s="11"/>
      <c r="F705" s="11"/>
      <c r="G705" s="16"/>
    </row>
    <row r="706">
      <c r="D706" s="11"/>
      <c r="F706" s="11"/>
      <c r="G706" s="16"/>
    </row>
    <row r="707">
      <c r="D707" s="11"/>
      <c r="F707" s="11"/>
      <c r="G707" s="16"/>
    </row>
    <row r="708">
      <c r="D708" s="11"/>
      <c r="F708" s="11"/>
      <c r="G708" s="16"/>
    </row>
    <row r="709">
      <c r="D709" s="11"/>
      <c r="F709" s="11"/>
      <c r="G709" s="16"/>
    </row>
    <row r="710">
      <c r="D710" s="11"/>
      <c r="F710" s="11"/>
      <c r="G710" s="16"/>
    </row>
    <row r="711">
      <c r="D711" s="11"/>
      <c r="F711" s="11"/>
      <c r="G711" s="16"/>
    </row>
    <row r="712">
      <c r="D712" s="11"/>
      <c r="F712" s="11"/>
      <c r="G712" s="16"/>
    </row>
    <row r="713">
      <c r="D713" s="11"/>
      <c r="F713" s="11"/>
      <c r="G713" s="16"/>
    </row>
    <row r="714">
      <c r="D714" s="11"/>
      <c r="F714" s="11"/>
      <c r="G714" s="16"/>
    </row>
    <row r="715">
      <c r="D715" s="11"/>
      <c r="F715" s="11"/>
      <c r="G715" s="16"/>
    </row>
    <row r="716">
      <c r="D716" s="11"/>
      <c r="F716" s="11"/>
      <c r="G716" s="16"/>
    </row>
    <row r="717">
      <c r="D717" s="11"/>
      <c r="F717" s="11"/>
      <c r="G717" s="16"/>
    </row>
    <row r="718">
      <c r="D718" s="11"/>
      <c r="F718" s="11"/>
      <c r="G718" s="16"/>
    </row>
    <row r="719">
      <c r="D719" s="11"/>
      <c r="F719" s="11"/>
      <c r="G719" s="16"/>
    </row>
    <row r="720">
      <c r="D720" s="11"/>
      <c r="F720" s="11"/>
      <c r="G720" s="16"/>
    </row>
    <row r="721">
      <c r="D721" s="11"/>
      <c r="F721" s="11"/>
      <c r="G721" s="16"/>
    </row>
    <row r="722">
      <c r="D722" s="11"/>
      <c r="F722" s="11"/>
      <c r="G722" s="16"/>
    </row>
    <row r="723">
      <c r="D723" s="11"/>
      <c r="F723" s="11"/>
      <c r="G723" s="16"/>
    </row>
    <row r="724">
      <c r="D724" s="11"/>
      <c r="F724" s="11"/>
      <c r="G724" s="16"/>
    </row>
    <row r="725">
      <c r="D725" s="11"/>
      <c r="F725" s="11"/>
      <c r="G725" s="16"/>
    </row>
    <row r="726">
      <c r="D726" s="11"/>
      <c r="F726" s="11"/>
      <c r="G726" s="16"/>
    </row>
    <row r="727">
      <c r="D727" s="11"/>
      <c r="F727" s="11"/>
      <c r="G727" s="16"/>
    </row>
    <row r="728">
      <c r="D728" s="11"/>
      <c r="F728" s="11"/>
      <c r="G728" s="16"/>
    </row>
    <row r="729">
      <c r="D729" s="11"/>
      <c r="F729" s="11"/>
      <c r="G729" s="16"/>
    </row>
    <row r="730">
      <c r="D730" s="11"/>
      <c r="F730" s="11"/>
      <c r="G730" s="16"/>
    </row>
    <row r="731">
      <c r="D731" s="11"/>
      <c r="F731" s="11"/>
      <c r="G731" s="16"/>
    </row>
    <row r="732">
      <c r="D732" s="11"/>
      <c r="F732" s="11"/>
      <c r="G732" s="16"/>
    </row>
    <row r="733">
      <c r="D733" s="11"/>
      <c r="F733" s="11"/>
      <c r="G733" s="16"/>
    </row>
    <row r="734">
      <c r="D734" s="11"/>
      <c r="F734" s="11"/>
      <c r="G734" s="16"/>
    </row>
    <row r="735">
      <c r="D735" s="11"/>
      <c r="F735" s="11"/>
      <c r="G735" s="16"/>
    </row>
    <row r="736">
      <c r="D736" s="11"/>
      <c r="F736" s="11"/>
      <c r="G736" s="16"/>
    </row>
    <row r="737">
      <c r="D737" s="11"/>
      <c r="F737" s="11"/>
      <c r="G737" s="16"/>
    </row>
    <row r="738">
      <c r="D738" s="11"/>
      <c r="F738" s="11"/>
      <c r="G738" s="16"/>
    </row>
    <row r="739">
      <c r="D739" s="11"/>
      <c r="F739" s="11"/>
      <c r="G739" s="16"/>
    </row>
    <row r="740">
      <c r="D740" s="11"/>
      <c r="F740" s="11"/>
      <c r="G740" s="16"/>
    </row>
    <row r="741">
      <c r="D741" s="11"/>
      <c r="F741" s="11"/>
      <c r="G741" s="16"/>
    </row>
    <row r="742">
      <c r="D742" s="11"/>
      <c r="F742" s="11"/>
      <c r="G742" s="16"/>
    </row>
    <row r="743">
      <c r="D743" s="11"/>
      <c r="F743" s="11"/>
      <c r="G743" s="16"/>
    </row>
    <row r="744">
      <c r="D744" s="11"/>
      <c r="F744" s="11"/>
      <c r="G744" s="16"/>
    </row>
    <row r="745">
      <c r="D745" s="11"/>
      <c r="F745" s="11"/>
      <c r="G745" s="16"/>
    </row>
    <row r="746">
      <c r="D746" s="11"/>
      <c r="F746" s="11"/>
      <c r="G746" s="16"/>
    </row>
    <row r="747">
      <c r="D747" s="11"/>
      <c r="F747" s="11"/>
      <c r="G747" s="16"/>
    </row>
    <row r="748">
      <c r="D748" s="11"/>
      <c r="F748" s="11"/>
      <c r="G748" s="16"/>
    </row>
    <row r="749">
      <c r="D749" s="11"/>
      <c r="F749" s="11"/>
      <c r="G749" s="16"/>
    </row>
    <row r="750">
      <c r="D750" s="11"/>
      <c r="F750" s="11"/>
      <c r="G750" s="16"/>
    </row>
    <row r="751">
      <c r="D751" s="11"/>
      <c r="F751" s="11"/>
      <c r="G751" s="16"/>
    </row>
    <row r="752">
      <c r="D752" s="11"/>
      <c r="F752" s="11"/>
      <c r="G752" s="16"/>
    </row>
    <row r="753">
      <c r="D753" s="11"/>
      <c r="F753" s="11"/>
      <c r="G753" s="16"/>
    </row>
    <row r="754">
      <c r="D754" s="11"/>
      <c r="F754" s="11"/>
      <c r="G754" s="16"/>
    </row>
    <row r="755">
      <c r="D755" s="11"/>
      <c r="F755" s="11"/>
      <c r="G755" s="16"/>
    </row>
    <row r="756">
      <c r="D756" s="11"/>
      <c r="F756" s="11"/>
      <c r="G756" s="16"/>
    </row>
    <row r="757">
      <c r="D757" s="11"/>
      <c r="F757" s="11"/>
      <c r="G757" s="16"/>
    </row>
    <row r="758">
      <c r="D758" s="11"/>
      <c r="F758" s="11"/>
      <c r="G758" s="16"/>
    </row>
    <row r="759">
      <c r="D759" s="11"/>
      <c r="F759" s="11"/>
      <c r="G759" s="16"/>
    </row>
    <row r="760">
      <c r="D760" s="11"/>
      <c r="F760" s="11"/>
      <c r="G760" s="16"/>
    </row>
    <row r="761">
      <c r="D761" s="11"/>
      <c r="F761" s="11"/>
      <c r="G761" s="16"/>
    </row>
    <row r="762">
      <c r="D762" s="11"/>
      <c r="F762" s="11"/>
      <c r="G762" s="16"/>
    </row>
    <row r="763">
      <c r="D763" s="11"/>
      <c r="F763" s="11"/>
      <c r="G763" s="16"/>
    </row>
    <row r="764">
      <c r="D764" s="11"/>
      <c r="F764" s="11"/>
      <c r="G764" s="16"/>
    </row>
    <row r="765">
      <c r="D765" s="11"/>
      <c r="F765" s="11"/>
      <c r="G765" s="16"/>
    </row>
    <row r="766">
      <c r="D766" s="11"/>
      <c r="F766" s="11"/>
      <c r="G766" s="16"/>
    </row>
    <row r="767">
      <c r="D767" s="11"/>
      <c r="F767" s="11"/>
      <c r="G767" s="16"/>
    </row>
    <row r="768">
      <c r="D768" s="11"/>
      <c r="F768" s="11"/>
      <c r="G768" s="16"/>
    </row>
    <row r="769">
      <c r="D769" s="11"/>
      <c r="F769" s="11"/>
      <c r="G769" s="16"/>
    </row>
    <row r="770">
      <c r="D770" s="11"/>
      <c r="F770" s="11"/>
      <c r="G770" s="16"/>
    </row>
    <row r="771">
      <c r="D771" s="11"/>
      <c r="F771" s="11"/>
      <c r="G771" s="16"/>
    </row>
    <row r="772">
      <c r="D772" s="11"/>
      <c r="F772" s="11"/>
      <c r="G772" s="16"/>
    </row>
    <row r="773">
      <c r="D773" s="11"/>
      <c r="F773" s="11"/>
      <c r="G773" s="16"/>
    </row>
    <row r="774">
      <c r="D774" s="11"/>
      <c r="F774" s="11"/>
      <c r="G774" s="16"/>
    </row>
    <row r="775">
      <c r="D775" s="11"/>
      <c r="F775" s="11"/>
      <c r="G775" s="16"/>
    </row>
    <row r="776">
      <c r="D776" s="11"/>
      <c r="F776" s="11"/>
      <c r="G776" s="16"/>
    </row>
    <row r="777">
      <c r="D777" s="11"/>
      <c r="F777" s="11"/>
      <c r="G777" s="16"/>
    </row>
    <row r="778">
      <c r="D778" s="11"/>
      <c r="F778" s="11"/>
      <c r="G778" s="16"/>
    </row>
    <row r="779">
      <c r="D779" s="11"/>
      <c r="F779" s="11"/>
      <c r="G779" s="16"/>
    </row>
    <row r="780">
      <c r="D780" s="11"/>
      <c r="F780" s="11"/>
      <c r="G780" s="16"/>
    </row>
    <row r="781">
      <c r="D781" s="11"/>
      <c r="F781" s="11"/>
      <c r="G781" s="16"/>
    </row>
    <row r="782">
      <c r="D782" s="11"/>
      <c r="F782" s="11"/>
      <c r="G782" s="16"/>
    </row>
    <row r="783">
      <c r="D783" s="11"/>
      <c r="F783" s="11"/>
      <c r="G783" s="16"/>
    </row>
    <row r="784">
      <c r="D784" s="11"/>
      <c r="F784" s="11"/>
      <c r="G784" s="16"/>
    </row>
    <row r="785">
      <c r="D785" s="11"/>
      <c r="F785" s="11"/>
      <c r="G785" s="16"/>
    </row>
    <row r="786">
      <c r="D786" s="11"/>
      <c r="F786" s="11"/>
      <c r="G786" s="16"/>
    </row>
    <row r="787">
      <c r="D787" s="11"/>
      <c r="F787" s="11"/>
      <c r="G787" s="16"/>
    </row>
    <row r="788">
      <c r="D788" s="11"/>
      <c r="F788" s="11"/>
      <c r="G788" s="16"/>
    </row>
    <row r="789">
      <c r="D789" s="11"/>
      <c r="F789" s="11"/>
      <c r="G789" s="16"/>
    </row>
    <row r="790">
      <c r="D790" s="11"/>
      <c r="F790" s="11"/>
      <c r="G790" s="16"/>
    </row>
    <row r="791">
      <c r="D791" s="11"/>
      <c r="F791" s="11"/>
      <c r="G791" s="16"/>
    </row>
    <row r="792">
      <c r="D792" s="11"/>
      <c r="F792" s="11"/>
      <c r="G792" s="16"/>
    </row>
    <row r="793">
      <c r="D793" s="11"/>
      <c r="F793" s="11"/>
      <c r="G793" s="16"/>
    </row>
    <row r="794">
      <c r="D794" s="11"/>
      <c r="F794" s="11"/>
      <c r="G794" s="16"/>
    </row>
    <row r="795">
      <c r="D795" s="11"/>
      <c r="F795" s="11"/>
      <c r="G795" s="16"/>
    </row>
    <row r="796">
      <c r="D796" s="11"/>
      <c r="F796" s="11"/>
      <c r="G796" s="16"/>
    </row>
    <row r="797">
      <c r="D797" s="11"/>
      <c r="F797" s="11"/>
      <c r="G797" s="16"/>
    </row>
    <row r="798">
      <c r="D798" s="11"/>
      <c r="F798" s="11"/>
      <c r="G798" s="16"/>
    </row>
    <row r="799">
      <c r="D799" s="11"/>
      <c r="F799" s="11"/>
      <c r="G799" s="16"/>
    </row>
    <row r="800">
      <c r="D800" s="11"/>
      <c r="F800" s="11"/>
      <c r="G800" s="16"/>
    </row>
    <row r="801">
      <c r="D801" s="11"/>
      <c r="F801" s="11"/>
      <c r="G801" s="16"/>
    </row>
    <row r="802">
      <c r="D802" s="11"/>
      <c r="F802" s="11"/>
      <c r="G802" s="16"/>
    </row>
    <row r="803">
      <c r="D803" s="11"/>
      <c r="F803" s="11"/>
      <c r="G803" s="16"/>
    </row>
    <row r="804">
      <c r="D804" s="11"/>
      <c r="F804" s="11"/>
      <c r="G804" s="16"/>
    </row>
    <row r="805">
      <c r="D805" s="11"/>
      <c r="F805" s="11"/>
      <c r="G805" s="16"/>
    </row>
    <row r="806">
      <c r="D806" s="11"/>
      <c r="F806" s="11"/>
      <c r="G806" s="16"/>
    </row>
    <row r="807">
      <c r="D807" s="11"/>
      <c r="F807" s="11"/>
      <c r="G807" s="16"/>
    </row>
    <row r="808">
      <c r="D808" s="11"/>
      <c r="F808" s="11"/>
      <c r="G808" s="16"/>
    </row>
    <row r="809">
      <c r="D809" s="11"/>
      <c r="F809" s="11"/>
      <c r="G809" s="16"/>
    </row>
    <row r="810">
      <c r="D810" s="11"/>
      <c r="F810" s="11"/>
      <c r="G810" s="16"/>
    </row>
    <row r="811">
      <c r="D811" s="11"/>
      <c r="F811" s="11"/>
      <c r="G811" s="16"/>
    </row>
    <row r="812">
      <c r="D812" s="11"/>
      <c r="F812" s="11"/>
      <c r="G812" s="16"/>
    </row>
    <row r="813">
      <c r="D813" s="11"/>
      <c r="F813" s="11"/>
      <c r="G813" s="16"/>
    </row>
    <row r="814">
      <c r="D814" s="11"/>
      <c r="F814" s="11"/>
      <c r="G814" s="16"/>
    </row>
    <row r="815">
      <c r="D815" s="11"/>
      <c r="F815" s="11"/>
      <c r="G815" s="16"/>
    </row>
    <row r="816">
      <c r="D816" s="11"/>
      <c r="F816" s="11"/>
      <c r="G816" s="16"/>
    </row>
    <row r="817">
      <c r="D817" s="11"/>
      <c r="F817" s="11"/>
      <c r="G817" s="16"/>
    </row>
    <row r="818">
      <c r="D818" s="11"/>
      <c r="F818" s="11"/>
      <c r="G818" s="16"/>
    </row>
    <row r="819">
      <c r="D819" s="11"/>
      <c r="F819" s="11"/>
      <c r="G819" s="16"/>
    </row>
    <row r="820">
      <c r="D820" s="11"/>
      <c r="F820" s="11"/>
      <c r="G820" s="16"/>
    </row>
    <row r="821">
      <c r="D821" s="11"/>
      <c r="F821" s="11"/>
      <c r="G821" s="16"/>
    </row>
    <row r="822">
      <c r="D822" s="11"/>
      <c r="F822" s="11"/>
      <c r="G822" s="16"/>
    </row>
    <row r="823">
      <c r="D823" s="11"/>
      <c r="F823" s="11"/>
      <c r="G823" s="16"/>
    </row>
    <row r="824">
      <c r="D824" s="11"/>
      <c r="F824" s="11"/>
      <c r="G824" s="16"/>
    </row>
    <row r="825">
      <c r="D825" s="11"/>
      <c r="F825" s="11"/>
      <c r="G825" s="16"/>
    </row>
    <row r="826">
      <c r="D826" s="11"/>
      <c r="F826" s="11"/>
      <c r="G826" s="16"/>
    </row>
    <row r="827">
      <c r="D827" s="11"/>
      <c r="F827" s="11"/>
      <c r="G827" s="16"/>
    </row>
    <row r="828">
      <c r="D828" s="11"/>
      <c r="F828" s="11"/>
      <c r="G828" s="16"/>
    </row>
    <row r="829">
      <c r="D829" s="11"/>
      <c r="F829" s="11"/>
      <c r="G829" s="16"/>
    </row>
    <row r="830">
      <c r="D830" s="11"/>
      <c r="F830" s="11"/>
      <c r="G830" s="16"/>
    </row>
    <row r="831">
      <c r="D831" s="11"/>
      <c r="F831" s="11"/>
      <c r="G831" s="16"/>
    </row>
    <row r="832">
      <c r="D832" s="11"/>
      <c r="F832" s="11"/>
      <c r="G832" s="16"/>
    </row>
    <row r="833">
      <c r="D833" s="11"/>
      <c r="F833" s="11"/>
      <c r="G833" s="16"/>
    </row>
    <row r="834">
      <c r="D834" s="11"/>
      <c r="F834" s="11"/>
      <c r="G834" s="16"/>
    </row>
    <row r="835">
      <c r="D835" s="11"/>
      <c r="F835" s="11"/>
      <c r="G835" s="16"/>
    </row>
    <row r="836">
      <c r="D836" s="11"/>
      <c r="F836" s="11"/>
      <c r="G836" s="16"/>
    </row>
    <row r="837">
      <c r="D837" s="11"/>
      <c r="F837" s="11"/>
      <c r="G837" s="16"/>
    </row>
    <row r="838">
      <c r="D838" s="11"/>
      <c r="F838" s="11"/>
      <c r="G838" s="16"/>
    </row>
    <row r="839">
      <c r="D839" s="11"/>
      <c r="F839" s="11"/>
      <c r="G839" s="16"/>
    </row>
    <row r="840">
      <c r="D840" s="11"/>
      <c r="F840" s="11"/>
      <c r="G840" s="16"/>
    </row>
    <row r="841">
      <c r="D841" s="11"/>
      <c r="F841" s="11"/>
      <c r="G841" s="16"/>
    </row>
    <row r="842">
      <c r="D842" s="11"/>
      <c r="F842" s="11"/>
      <c r="G842" s="16"/>
    </row>
    <row r="843">
      <c r="D843" s="11"/>
      <c r="F843" s="11"/>
      <c r="G843" s="16"/>
    </row>
    <row r="844">
      <c r="D844" s="11"/>
      <c r="F844" s="11"/>
      <c r="G844" s="16"/>
    </row>
    <row r="845">
      <c r="D845" s="11"/>
      <c r="F845" s="11"/>
      <c r="G845" s="16"/>
    </row>
    <row r="846">
      <c r="D846" s="11"/>
      <c r="F846" s="11"/>
      <c r="G846" s="16"/>
    </row>
    <row r="847">
      <c r="D847" s="11"/>
      <c r="F847" s="11"/>
      <c r="G847" s="16"/>
    </row>
    <row r="848">
      <c r="D848" s="11"/>
      <c r="F848" s="11"/>
      <c r="G848" s="16"/>
    </row>
    <row r="849">
      <c r="D849" s="11"/>
      <c r="F849" s="11"/>
      <c r="G849" s="16"/>
    </row>
    <row r="850">
      <c r="D850" s="11"/>
      <c r="F850" s="11"/>
      <c r="G850" s="16"/>
    </row>
    <row r="851">
      <c r="D851" s="11"/>
      <c r="F851" s="11"/>
      <c r="G851" s="16"/>
    </row>
    <row r="852">
      <c r="D852" s="11"/>
      <c r="F852" s="11"/>
      <c r="G852" s="16"/>
    </row>
    <row r="853">
      <c r="D853" s="11"/>
      <c r="F853" s="11"/>
      <c r="G853" s="16"/>
    </row>
    <row r="854">
      <c r="D854" s="11"/>
      <c r="F854" s="11"/>
      <c r="G854" s="16"/>
    </row>
    <row r="855">
      <c r="D855" s="11"/>
      <c r="F855" s="11"/>
      <c r="G855" s="16"/>
    </row>
    <row r="856">
      <c r="D856" s="11"/>
      <c r="F856" s="11"/>
      <c r="G856" s="16"/>
    </row>
    <row r="857">
      <c r="D857" s="11"/>
      <c r="F857" s="11"/>
      <c r="G857" s="16"/>
    </row>
    <row r="858">
      <c r="D858" s="11"/>
      <c r="F858" s="11"/>
      <c r="G858" s="16"/>
    </row>
    <row r="859">
      <c r="D859" s="11"/>
      <c r="F859" s="11"/>
      <c r="G859" s="16"/>
    </row>
    <row r="860">
      <c r="D860" s="11"/>
      <c r="F860" s="11"/>
      <c r="G860" s="16"/>
    </row>
    <row r="861">
      <c r="D861" s="11"/>
      <c r="F861" s="11"/>
      <c r="G861" s="16"/>
    </row>
    <row r="862">
      <c r="D862" s="11"/>
      <c r="F862" s="11"/>
      <c r="G862" s="16"/>
    </row>
    <row r="863">
      <c r="D863" s="11"/>
      <c r="F863" s="11"/>
      <c r="G863" s="16"/>
    </row>
    <row r="864">
      <c r="D864" s="11"/>
      <c r="F864" s="11"/>
      <c r="G864" s="16"/>
    </row>
    <row r="865">
      <c r="D865" s="11"/>
      <c r="F865" s="11"/>
      <c r="G865" s="16"/>
    </row>
    <row r="866">
      <c r="D866" s="11"/>
      <c r="F866" s="11"/>
      <c r="G866" s="16"/>
    </row>
    <row r="867">
      <c r="D867" s="11"/>
      <c r="F867" s="11"/>
      <c r="G867" s="16"/>
    </row>
    <row r="868">
      <c r="D868" s="11"/>
      <c r="F868" s="11"/>
      <c r="G868" s="16"/>
    </row>
    <row r="869">
      <c r="D869" s="11"/>
      <c r="F869" s="11"/>
      <c r="G869" s="16"/>
    </row>
    <row r="870">
      <c r="D870" s="11"/>
      <c r="F870" s="11"/>
      <c r="G870" s="16"/>
    </row>
    <row r="871">
      <c r="D871" s="11"/>
      <c r="F871" s="11"/>
      <c r="G871" s="16"/>
    </row>
    <row r="872">
      <c r="D872" s="11"/>
      <c r="F872" s="11"/>
      <c r="G872" s="16"/>
    </row>
    <row r="873">
      <c r="D873" s="11"/>
      <c r="F873" s="11"/>
      <c r="G873" s="16"/>
    </row>
    <row r="874">
      <c r="D874" s="11"/>
      <c r="F874" s="11"/>
      <c r="G874" s="16"/>
    </row>
    <row r="875">
      <c r="D875" s="11"/>
      <c r="F875" s="11"/>
      <c r="G875" s="16"/>
    </row>
    <row r="876">
      <c r="D876" s="11"/>
      <c r="F876" s="11"/>
      <c r="G876" s="16"/>
    </row>
    <row r="877">
      <c r="D877" s="11"/>
      <c r="F877" s="11"/>
      <c r="G877" s="16"/>
    </row>
    <row r="878">
      <c r="D878" s="11"/>
      <c r="F878" s="11"/>
      <c r="G878" s="16"/>
    </row>
    <row r="879">
      <c r="D879" s="11"/>
      <c r="F879" s="11"/>
      <c r="G879" s="16"/>
    </row>
    <row r="880">
      <c r="D880" s="11"/>
      <c r="F880" s="11"/>
      <c r="G880" s="16"/>
    </row>
    <row r="881">
      <c r="D881" s="11"/>
      <c r="F881" s="11"/>
      <c r="G881" s="16"/>
    </row>
    <row r="882">
      <c r="D882" s="11"/>
      <c r="F882" s="11"/>
      <c r="G882" s="16"/>
    </row>
    <row r="883">
      <c r="D883" s="11"/>
      <c r="F883" s="11"/>
      <c r="G883" s="16"/>
    </row>
    <row r="884">
      <c r="D884" s="11"/>
      <c r="F884" s="11"/>
      <c r="G884" s="16"/>
    </row>
    <row r="885">
      <c r="D885" s="11"/>
      <c r="F885" s="11"/>
      <c r="G885" s="16"/>
    </row>
    <row r="886">
      <c r="D886" s="11"/>
      <c r="F886" s="11"/>
      <c r="G886" s="16"/>
    </row>
    <row r="887">
      <c r="D887" s="11"/>
      <c r="F887" s="11"/>
      <c r="G887" s="16"/>
    </row>
    <row r="888">
      <c r="D888" s="11"/>
      <c r="F888" s="11"/>
      <c r="G888" s="16"/>
    </row>
    <row r="889">
      <c r="D889" s="11"/>
      <c r="F889" s="11"/>
      <c r="G889" s="16"/>
    </row>
    <row r="890">
      <c r="D890" s="11"/>
      <c r="F890" s="11"/>
      <c r="G890" s="16"/>
    </row>
    <row r="891">
      <c r="D891" s="11"/>
      <c r="F891" s="11"/>
      <c r="G891" s="16"/>
    </row>
    <row r="892">
      <c r="D892" s="11"/>
      <c r="F892" s="11"/>
      <c r="G892" s="16"/>
    </row>
    <row r="893">
      <c r="D893" s="11"/>
      <c r="F893" s="11"/>
      <c r="G893" s="16"/>
    </row>
    <row r="894">
      <c r="D894" s="11"/>
      <c r="F894" s="11"/>
      <c r="G894" s="16"/>
    </row>
    <row r="895">
      <c r="D895" s="11"/>
      <c r="F895" s="11"/>
      <c r="G895" s="16"/>
    </row>
    <row r="896">
      <c r="D896" s="11"/>
      <c r="F896" s="11"/>
      <c r="G896" s="16"/>
    </row>
    <row r="897">
      <c r="D897" s="11"/>
      <c r="F897" s="11"/>
      <c r="G897" s="16"/>
    </row>
    <row r="898">
      <c r="D898" s="11"/>
      <c r="F898" s="11"/>
      <c r="G898" s="16"/>
    </row>
    <row r="899">
      <c r="D899" s="11"/>
      <c r="F899" s="11"/>
      <c r="G899" s="16"/>
    </row>
    <row r="900">
      <c r="D900" s="11"/>
      <c r="F900" s="11"/>
      <c r="G900" s="16"/>
    </row>
    <row r="901">
      <c r="D901" s="11"/>
      <c r="F901" s="11"/>
      <c r="G901" s="16"/>
    </row>
    <row r="902">
      <c r="D902" s="11"/>
      <c r="F902" s="11"/>
      <c r="G902" s="16"/>
    </row>
    <row r="903">
      <c r="D903" s="11"/>
      <c r="F903" s="11"/>
      <c r="G903" s="16"/>
    </row>
    <row r="904">
      <c r="D904" s="11"/>
      <c r="F904" s="11"/>
      <c r="G904" s="16"/>
    </row>
    <row r="905">
      <c r="D905" s="11"/>
      <c r="F905" s="11"/>
      <c r="G905" s="16"/>
    </row>
    <row r="906">
      <c r="D906" s="11"/>
      <c r="F906" s="11"/>
      <c r="G906" s="16"/>
    </row>
    <row r="907">
      <c r="D907" s="11"/>
      <c r="F907" s="11"/>
      <c r="G907" s="16"/>
    </row>
    <row r="908">
      <c r="D908" s="11"/>
      <c r="F908" s="11"/>
      <c r="G908" s="16"/>
    </row>
    <row r="909">
      <c r="D909" s="11"/>
      <c r="F909" s="11"/>
      <c r="G909" s="16"/>
    </row>
    <row r="910">
      <c r="D910" s="11"/>
      <c r="F910" s="11"/>
      <c r="G910" s="16"/>
    </row>
    <row r="911">
      <c r="D911" s="11"/>
      <c r="F911" s="11"/>
      <c r="G911" s="16"/>
    </row>
    <row r="912">
      <c r="D912" s="11"/>
      <c r="F912" s="11"/>
      <c r="G912" s="16"/>
    </row>
    <row r="913">
      <c r="D913" s="11"/>
      <c r="F913" s="11"/>
      <c r="G913" s="16"/>
    </row>
    <row r="914">
      <c r="D914" s="11"/>
      <c r="F914" s="11"/>
      <c r="G914" s="16"/>
    </row>
    <row r="915">
      <c r="D915" s="11"/>
      <c r="F915" s="11"/>
      <c r="G915" s="16"/>
    </row>
    <row r="916">
      <c r="D916" s="11"/>
      <c r="F916" s="11"/>
      <c r="G916" s="16"/>
    </row>
    <row r="917">
      <c r="D917" s="11"/>
      <c r="F917" s="11"/>
      <c r="G917" s="16"/>
    </row>
    <row r="918">
      <c r="D918" s="11"/>
      <c r="F918" s="11"/>
      <c r="G918" s="16"/>
    </row>
    <row r="919">
      <c r="D919" s="11"/>
      <c r="F919" s="11"/>
      <c r="G919" s="16"/>
    </row>
    <row r="920">
      <c r="D920" s="11"/>
      <c r="F920" s="11"/>
      <c r="G920" s="16"/>
    </row>
    <row r="921">
      <c r="D921" s="11"/>
      <c r="F921" s="11"/>
      <c r="G921" s="16"/>
    </row>
    <row r="922">
      <c r="D922" s="11"/>
      <c r="F922" s="11"/>
      <c r="G922" s="16"/>
    </row>
    <row r="923">
      <c r="D923" s="11"/>
      <c r="F923" s="11"/>
      <c r="G923" s="16"/>
    </row>
    <row r="924">
      <c r="D924" s="11"/>
      <c r="F924" s="11"/>
      <c r="G924" s="16"/>
    </row>
    <row r="925">
      <c r="D925" s="11"/>
      <c r="F925" s="11"/>
      <c r="G925" s="16"/>
    </row>
    <row r="926">
      <c r="D926" s="11"/>
      <c r="F926" s="11"/>
      <c r="G926" s="16"/>
    </row>
    <row r="927">
      <c r="D927" s="11"/>
      <c r="F927" s="11"/>
      <c r="G927" s="16"/>
    </row>
    <row r="928">
      <c r="D928" s="11"/>
      <c r="F928" s="11"/>
      <c r="G928" s="16"/>
    </row>
    <row r="929">
      <c r="D929" s="11"/>
      <c r="F929" s="11"/>
      <c r="G929" s="16"/>
    </row>
    <row r="930">
      <c r="D930" s="11"/>
      <c r="F930" s="11"/>
      <c r="G930" s="16"/>
    </row>
    <row r="931">
      <c r="D931" s="11"/>
      <c r="F931" s="11"/>
      <c r="G931" s="16"/>
    </row>
    <row r="932">
      <c r="D932" s="11"/>
      <c r="F932" s="11"/>
      <c r="G932" s="16"/>
    </row>
    <row r="933">
      <c r="D933" s="11"/>
      <c r="F933" s="11"/>
      <c r="G933" s="16"/>
    </row>
    <row r="934">
      <c r="D934" s="11"/>
      <c r="F934" s="11"/>
      <c r="G934" s="16"/>
    </row>
    <row r="935">
      <c r="D935" s="11"/>
      <c r="F935" s="11"/>
      <c r="G935" s="16"/>
    </row>
    <row r="936">
      <c r="D936" s="11"/>
      <c r="F936" s="11"/>
      <c r="G936" s="16"/>
    </row>
    <row r="937">
      <c r="D937" s="11"/>
      <c r="F937" s="11"/>
      <c r="G937" s="16"/>
    </row>
    <row r="938">
      <c r="D938" s="11"/>
      <c r="F938" s="11"/>
      <c r="G938" s="16"/>
    </row>
    <row r="939">
      <c r="D939" s="11"/>
      <c r="F939" s="11"/>
      <c r="G939" s="16"/>
    </row>
    <row r="940">
      <c r="D940" s="11"/>
      <c r="F940" s="11"/>
      <c r="G940" s="16"/>
    </row>
    <row r="941">
      <c r="D941" s="11"/>
      <c r="F941" s="11"/>
      <c r="G941" s="16"/>
    </row>
    <row r="942">
      <c r="D942" s="11"/>
      <c r="F942" s="11"/>
      <c r="G942" s="16"/>
    </row>
    <row r="943">
      <c r="D943" s="11"/>
      <c r="F943" s="11"/>
      <c r="G943" s="16"/>
    </row>
    <row r="944">
      <c r="D944" s="11"/>
      <c r="F944" s="11"/>
      <c r="G944" s="16"/>
    </row>
    <row r="945">
      <c r="D945" s="11"/>
      <c r="F945" s="11"/>
      <c r="G945" s="16"/>
    </row>
    <row r="946">
      <c r="D946" s="11"/>
      <c r="F946" s="11"/>
      <c r="G946" s="16"/>
    </row>
    <row r="947">
      <c r="D947" s="11"/>
      <c r="F947" s="11"/>
      <c r="G947" s="16"/>
    </row>
    <row r="948">
      <c r="D948" s="11"/>
      <c r="F948" s="11"/>
      <c r="G948" s="16"/>
    </row>
    <row r="949">
      <c r="D949" s="11"/>
      <c r="F949" s="11"/>
      <c r="G949" s="16"/>
    </row>
    <row r="950">
      <c r="D950" s="11"/>
      <c r="F950" s="11"/>
      <c r="G950" s="16"/>
    </row>
    <row r="951">
      <c r="D951" s="11"/>
      <c r="F951" s="11"/>
      <c r="G951" s="16"/>
    </row>
    <row r="952">
      <c r="D952" s="11"/>
      <c r="F952" s="11"/>
      <c r="G952" s="16"/>
    </row>
    <row r="953">
      <c r="D953" s="11"/>
      <c r="F953" s="11"/>
      <c r="G953" s="16"/>
    </row>
    <row r="954">
      <c r="D954" s="11"/>
      <c r="F954" s="11"/>
      <c r="G954" s="16"/>
    </row>
    <row r="955">
      <c r="D955" s="11"/>
      <c r="F955" s="11"/>
      <c r="G955" s="16"/>
    </row>
    <row r="956">
      <c r="D956" s="11"/>
      <c r="F956" s="11"/>
      <c r="G956" s="16"/>
    </row>
    <row r="957">
      <c r="D957" s="11"/>
      <c r="F957" s="11"/>
      <c r="G957" s="16"/>
    </row>
    <row r="958">
      <c r="D958" s="11"/>
      <c r="F958" s="11"/>
      <c r="G958" s="16"/>
    </row>
    <row r="959">
      <c r="D959" s="11"/>
      <c r="F959" s="11"/>
      <c r="G959" s="16"/>
    </row>
    <row r="960">
      <c r="D960" s="11"/>
      <c r="F960" s="11"/>
      <c r="G960" s="16"/>
    </row>
    <row r="961">
      <c r="D961" s="11"/>
      <c r="F961" s="11"/>
      <c r="G961" s="16"/>
    </row>
    <row r="962">
      <c r="D962" s="11"/>
      <c r="F962" s="11"/>
      <c r="G962" s="16"/>
    </row>
    <row r="963">
      <c r="D963" s="11"/>
      <c r="F963" s="11"/>
      <c r="G963" s="16"/>
    </row>
    <row r="964">
      <c r="D964" s="11"/>
      <c r="F964" s="11"/>
      <c r="G964" s="16"/>
    </row>
    <row r="965">
      <c r="D965" s="11"/>
      <c r="F965" s="11"/>
      <c r="G965" s="16"/>
    </row>
    <row r="966">
      <c r="D966" s="11"/>
      <c r="F966" s="11"/>
      <c r="G966" s="16"/>
    </row>
    <row r="967">
      <c r="D967" s="11"/>
      <c r="F967" s="11"/>
      <c r="G967" s="16"/>
    </row>
    <row r="968">
      <c r="D968" s="11"/>
      <c r="F968" s="11"/>
      <c r="G968" s="16"/>
    </row>
    <row r="969">
      <c r="D969" s="11"/>
      <c r="F969" s="11"/>
      <c r="G969" s="16"/>
    </row>
    <row r="970">
      <c r="D970" s="11"/>
      <c r="F970" s="11"/>
      <c r="G970" s="16"/>
    </row>
    <row r="971">
      <c r="D971" s="11"/>
      <c r="F971" s="11"/>
      <c r="G971" s="16"/>
    </row>
    <row r="972">
      <c r="D972" s="11"/>
      <c r="F972" s="11"/>
      <c r="G972" s="16"/>
    </row>
    <row r="973">
      <c r="D973" s="11"/>
      <c r="F973" s="11"/>
      <c r="G973" s="16"/>
    </row>
    <row r="974">
      <c r="D974" s="11"/>
      <c r="F974" s="11"/>
      <c r="G974" s="16"/>
    </row>
    <row r="975">
      <c r="D975" s="11"/>
      <c r="F975" s="11"/>
      <c r="G975" s="16"/>
    </row>
    <row r="976">
      <c r="D976" s="11"/>
      <c r="F976" s="11"/>
      <c r="G976" s="16"/>
    </row>
    <row r="977">
      <c r="D977" s="11"/>
      <c r="F977" s="11"/>
      <c r="G977" s="16"/>
    </row>
    <row r="978">
      <c r="D978" s="11"/>
      <c r="F978" s="11"/>
      <c r="G978" s="16"/>
    </row>
    <row r="979">
      <c r="D979" s="11"/>
      <c r="F979" s="11"/>
      <c r="G979" s="16"/>
    </row>
    <row r="980">
      <c r="D980" s="11"/>
      <c r="F980" s="11"/>
      <c r="G980" s="16"/>
    </row>
    <row r="981">
      <c r="D981" s="11"/>
      <c r="F981" s="11"/>
      <c r="G981" s="16"/>
    </row>
    <row r="982">
      <c r="D982" s="11"/>
      <c r="F982" s="11"/>
      <c r="G982" s="16"/>
    </row>
    <row r="983">
      <c r="D983" s="11"/>
      <c r="F983" s="11"/>
      <c r="G983" s="16"/>
    </row>
    <row r="984">
      <c r="D984" s="11"/>
      <c r="F984" s="11"/>
      <c r="G984" s="16"/>
    </row>
    <row r="985">
      <c r="D985" s="11"/>
      <c r="F985" s="11"/>
      <c r="G985" s="16"/>
    </row>
    <row r="986">
      <c r="D986" s="11"/>
      <c r="F986" s="11"/>
      <c r="G986" s="16"/>
    </row>
    <row r="987">
      <c r="D987" s="11"/>
      <c r="F987" s="11"/>
      <c r="G987" s="16"/>
    </row>
    <row r="988">
      <c r="D988" s="11"/>
      <c r="F988" s="11"/>
      <c r="G988" s="16"/>
    </row>
    <row r="989">
      <c r="D989" s="11"/>
      <c r="F989" s="11"/>
      <c r="G989" s="16"/>
    </row>
    <row r="990">
      <c r="D990" s="11"/>
      <c r="F990" s="11"/>
      <c r="G990" s="16"/>
    </row>
    <row r="991">
      <c r="D991" s="11"/>
      <c r="F991" s="11"/>
      <c r="G991" s="16"/>
    </row>
    <row r="992">
      <c r="D992" s="11"/>
      <c r="F992" s="11"/>
      <c r="G992" s="16"/>
    </row>
    <row r="993">
      <c r="D993" s="11"/>
      <c r="F993" s="11"/>
      <c r="G993" s="16"/>
    </row>
    <row r="994">
      <c r="D994" s="11"/>
      <c r="F994" s="11"/>
      <c r="G994" s="16"/>
    </row>
    <row r="995">
      <c r="D995" s="11"/>
      <c r="F995" s="11"/>
      <c r="G995" s="16"/>
    </row>
    <row r="996">
      <c r="D996" s="11"/>
      <c r="F996" s="11"/>
      <c r="G996" s="16"/>
    </row>
    <row r="997">
      <c r="D997" s="11"/>
      <c r="F997" s="11"/>
      <c r="G997" s="16"/>
    </row>
    <row r="998">
      <c r="D998" s="11"/>
      <c r="F998" s="11"/>
      <c r="G998" s="16"/>
    </row>
    <row r="999">
      <c r="D999" s="11"/>
      <c r="F999" s="11"/>
      <c r="G999" s="16"/>
    </row>
    <row r="1000">
      <c r="D1000" s="11"/>
      <c r="F1000" s="11"/>
      <c r="G1000"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5.5"/>
    <col customWidth="1" min="3" max="3" width="18.25"/>
    <col customWidth="1" min="4" max="4" width="16.5"/>
  </cols>
  <sheetData>
    <row r="1">
      <c r="A1" s="17" t="s">
        <v>97</v>
      </c>
      <c r="I1" s="18"/>
      <c r="J1" s="18"/>
      <c r="K1" s="18"/>
      <c r="L1" s="18"/>
      <c r="M1" s="18"/>
      <c r="N1" s="18"/>
      <c r="O1" s="18"/>
      <c r="P1" s="18"/>
      <c r="Q1" s="18"/>
      <c r="R1" s="18"/>
      <c r="S1" s="18"/>
      <c r="T1" s="18"/>
      <c r="U1" s="18"/>
      <c r="V1" s="18"/>
      <c r="W1" s="18"/>
      <c r="X1" s="18"/>
      <c r="Y1" s="18"/>
      <c r="Z1" s="18"/>
    </row>
    <row r="2">
      <c r="I2" s="18"/>
      <c r="J2" s="18"/>
      <c r="K2" s="18"/>
      <c r="L2" s="18"/>
      <c r="M2" s="18"/>
      <c r="N2" s="18"/>
      <c r="O2" s="18"/>
      <c r="P2" s="18"/>
      <c r="Q2" s="18"/>
      <c r="R2" s="18"/>
      <c r="S2" s="18"/>
      <c r="T2" s="18"/>
      <c r="U2" s="18"/>
      <c r="V2" s="18"/>
      <c r="W2" s="18"/>
      <c r="X2" s="18"/>
      <c r="Y2" s="18"/>
      <c r="Z2" s="18"/>
    </row>
    <row r="3">
      <c r="A3" s="19" t="s">
        <v>105</v>
      </c>
      <c r="I3" s="18"/>
      <c r="J3" s="18"/>
      <c r="K3" s="18"/>
      <c r="L3" s="18"/>
      <c r="M3" s="18"/>
      <c r="N3" s="18"/>
      <c r="O3" s="18"/>
      <c r="P3" s="18"/>
      <c r="Q3" s="18"/>
      <c r="R3" s="18"/>
      <c r="S3" s="18"/>
      <c r="T3" s="18"/>
      <c r="U3" s="18"/>
      <c r="V3" s="18"/>
      <c r="W3" s="18"/>
      <c r="X3" s="18"/>
      <c r="Y3" s="18"/>
      <c r="Z3" s="18"/>
    </row>
    <row r="4">
      <c r="A4" s="18"/>
      <c r="B4" s="18"/>
      <c r="C4" s="18"/>
      <c r="D4" s="18"/>
      <c r="E4" s="18"/>
      <c r="F4" s="18"/>
      <c r="G4" s="18"/>
      <c r="H4" s="18"/>
      <c r="I4" s="18"/>
      <c r="J4" s="18"/>
      <c r="K4" s="18"/>
      <c r="L4" s="18"/>
      <c r="M4" s="18"/>
      <c r="N4" s="18"/>
      <c r="O4" s="18"/>
      <c r="P4" s="18"/>
      <c r="Q4" s="18"/>
      <c r="R4" s="18"/>
      <c r="S4" s="18"/>
      <c r="T4" s="18"/>
      <c r="U4" s="18"/>
      <c r="V4" s="18"/>
      <c r="W4" s="18"/>
      <c r="X4" s="18"/>
      <c r="Y4" s="18"/>
      <c r="Z4" s="18"/>
    </row>
    <row r="5">
      <c r="A5" s="20" t="s">
        <v>111</v>
      </c>
      <c r="C5" s="21" t="s">
        <v>114</v>
      </c>
      <c r="E5" s="21" t="s">
        <v>115</v>
      </c>
      <c r="G5" s="21" t="s">
        <v>116</v>
      </c>
      <c r="I5" s="18"/>
      <c r="J5" s="18"/>
      <c r="K5" s="18"/>
      <c r="L5" s="18"/>
      <c r="M5" s="18"/>
      <c r="N5" s="18"/>
      <c r="O5" s="18"/>
      <c r="P5" s="18"/>
      <c r="Q5" s="18"/>
      <c r="R5" s="18"/>
      <c r="S5" s="18"/>
      <c r="T5" s="18"/>
      <c r="U5" s="18"/>
      <c r="V5" s="18"/>
      <c r="W5" s="18"/>
      <c r="X5" s="18"/>
      <c r="Y5" s="18"/>
      <c r="Z5" s="18"/>
    </row>
    <row r="6">
      <c r="A6" s="22">
        <f>SUM(Raw_Data!G2:G101)</f>
        <v>162450</v>
      </c>
      <c r="C6" s="23">
        <f>SUM(Raw_Data!I2:I101)</f>
        <v>673703</v>
      </c>
      <c r="E6" s="23">
        <f>IF(A6=0, 0, C6/A6)</f>
        <v>4.147140659</v>
      </c>
      <c r="G6" s="24">
        <f>SUM(Raw_Data!H2:H101)</f>
        <v>12030</v>
      </c>
      <c r="I6" s="18"/>
      <c r="J6" s="18"/>
      <c r="K6" s="18"/>
      <c r="L6" s="18"/>
      <c r="M6" s="18"/>
      <c r="N6" s="18"/>
      <c r="O6" s="18"/>
      <c r="P6" s="18"/>
      <c r="Q6" s="18"/>
      <c r="R6" s="18"/>
      <c r="S6" s="18"/>
      <c r="T6" s="18"/>
      <c r="U6" s="18"/>
      <c r="V6" s="18"/>
      <c r="W6" s="18"/>
      <c r="X6" s="18"/>
      <c r="Y6" s="18"/>
      <c r="Z6" s="18"/>
    </row>
    <row r="7">
      <c r="A7" s="18"/>
      <c r="B7" s="18"/>
      <c r="C7" s="18"/>
      <c r="D7" s="18"/>
      <c r="E7" s="18"/>
      <c r="F7" s="18"/>
      <c r="G7" s="18"/>
      <c r="H7" s="18"/>
      <c r="I7" s="18"/>
      <c r="J7" s="18"/>
      <c r="K7" s="18"/>
      <c r="L7" s="18"/>
      <c r="M7" s="18"/>
      <c r="N7" s="18"/>
      <c r="O7" s="18"/>
      <c r="P7" s="18"/>
      <c r="Q7" s="18"/>
      <c r="R7" s="18"/>
      <c r="S7" s="18"/>
      <c r="T7" s="18"/>
      <c r="U7" s="18"/>
      <c r="V7" s="18"/>
      <c r="W7" s="18"/>
      <c r="X7" s="18"/>
      <c r="Y7" s="18"/>
      <c r="Z7" s="18"/>
    </row>
    <row r="8">
      <c r="A8" s="18"/>
      <c r="B8" s="18"/>
      <c r="C8" s="18"/>
      <c r="D8" s="18"/>
      <c r="E8" s="18"/>
      <c r="F8" s="18"/>
      <c r="G8" s="18"/>
      <c r="H8" s="18"/>
      <c r="I8" s="18"/>
      <c r="J8" s="18"/>
      <c r="K8" s="18"/>
      <c r="L8" s="18"/>
      <c r="M8" s="18"/>
      <c r="N8" s="18"/>
      <c r="O8" s="18"/>
      <c r="P8" s="18"/>
      <c r="Q8" s="18"/>
      <c r="R8" s="18"/>
      <c r="S8" s="18"/>
      <c r="T8" s="18"/>
      <c r="U8" s="18"/>
      <c r="V8" s="18"/>
      <c r="W8" s="18"/>
      <c r="X8" s="18"/>
      <c r="Y8" s="18"/>
      <c r="Z8" s="18"/>
    </row>
    <row r="9">
      <c r="A9" s="18"/>
      <c r="B9" s="18"/>
      <c r="C9" s="18"/>
      <c r="D9" s="18"/>
      <c r="E9" s="18"/>
      <c r="F9" s="18"/>
      <c r="G9" s="18"/>
      <c r="H9" s="18"/>
      <c r="I9" s="18"/>
      <c r="J9" s="18"/>
      <c r="K9" s="18"/>
      <c r="L9" s="18"/>
      <c r="M9" s="18"/>
      <c r="N9" s="18"/>
      <c r="O9" s="18"/>
      <c r="P9" s="18"/>
      <c r="Q9" s="18"/>
      <c r="R9" s="18"/>
      <c r="S9" s="18"/>
      <c r="T9" s="18"/>
      <c r="U9" s="18"/>
      <c r="V9" s="18"/>
      <c r="W9" s="18"/>
      <c r="X9" s="18"/>
      <c r="Y9" s="18"/>
      <c r="Z9" s="18"/>
    </row>
    <row r="10">
      <c r="E10" s="25"/>
      <c r="F10" s="25"/>
      <c r="G10" s="25"/>
      <c r="H10" s="18"/>
      <c r="I10" s="18"/>
      <c r="J10" s="18"/>
      <c r="K10" s="18"/>
      <c r="L10" s="18"/>
      <c r="M10" s="18"/>
      <c r="N10" s="18"/>
      <c r="O10" s="18"/>
      <c r="P10" s="18"/>
      <c r="Q10" s="18"/>
      <c r="R10" s="18"/>
      <c r="S10" s="18"/>
      <c r="T10" s="18"/>
      <c r="U10" s="18"/>
      <c r="V10" s="18"/>
      <c r="W10" s="18"/>
      <c r="X10" s="18"/>
      <c r="Y10" s="18"/>
      <c r="Z10" s="18"/>
    </row>
    <row r="11">
      <c r="E11" s="25"/>
      <c r="F11" s="25"/>
      <c r="G11" s="25"/>
      <c r="H11" s="18"/>
      <c r="I11" s="18"/>
      <c r="J11" s="18"/>
      <c r="K11" s="18"/>
      <c r="L11" s="18"/>
      <c r="M11" s="18"/>
      <c r="N11" s="18"/>
      <c r="O11" s="18"/>
      <c r="P11" s="18"/>
      <c r="Q11" s="18"/>
      <c r="R11" s="18"/>
      <c r="S11" s="18"/>
      <c r="T11" s="18"/>
      <c r="U11" s="18"/>
      <c r="V11" s="18"/>
      <c r="W11" s="18"/>
      <c r="X11" s="18"/>
      <c r="Y11" s="18"/>
      <c r="Z11" s="18"/>
    </row>
    <row r="12">
      <c r="E12" s="25"/>
      <c r="F12" s="25"/>
      <c r="G12" s="25"/>
      <c r="H12" s="18"/>
      <c r="I12" s="18"/>
      <c r="J12" s="18"/>
      <c r="K12" s="18"/>
      <c r="L12" s="18"/>
      <c r="M12" s="18"/>
      <c r="N12" s="18"/>
      <c r="O12" s="18"/>
      <c r="P12" s="18"/>
      <c r="Q12" s="18"/>
      <c r="R12" s="18"/>
      <c r="S12" s="18"/>
      <c r="T12" s="18"/>
      <c r="U12" s="18"/>
      <c r="V12" s="18"/>
      <c r="W12" s="18"/>
      <c r="X12" s="18"/>
      <c r="Y12" s="18"/>
      <c r="Z12" s="18"/>
    </row>
    <row r="13">
      <c r="E13" s="25"/>
      <c r="F13" s="25"/>
      <c r="G13" s="25"/>
      <c r="H13" s="18"/>
      <c r="I13" s="18"/>
      <c r="J13" s="18"/>
      <c r="K13" s="18"/>
      <c r="L13" s="18"/>
      <c r="M13" s="18"/>
      <c r="N13" s="18"/>
      <c r="O13" s="18"/>
      <c r="P13" s="18"/>
      <c r="Q13" s="18"/>
      <c r="R13" s="18"/>
      <c r="S13" s="18"/>
      <c r="T13" s="18"/>
      <c r="U13" s="18"/>
      <c r="V13" s="18"/>
      <c r="W13" s="18"/>
      <c r="X13" s="18"/>
      <c r="Y13" s="18"/>
      <c r="Z13" s="18"/>
    </row>
    <row r="14">
      <c r="E14" s="25"/>
      <c r="F14" s="25"/>
      <c r="G14" s="25"/>
      <c r="H14" s="18"/>
      <c r="I14" s="18"/>
      <c r="J14" s="18"/>
      <c r="K14" s="18"/>
      <c r="L14" s="18"/>
      <c r="M14" s="18"/>
      <c r="N14" s="18"/>
      <c r="O14" s="18"/>
      <c r="P14" s="18"/>
      <c r="Q14" s="18"/>
      <c r="R14" s="18"/>
      <c r="S14" s="18"/>
      <c r="T14" s="18"/>
      <c r="U14" s="18"/>
      <c r="V14" s="18"/>
      <c r="W14" s="18"/>
      <c r="X14" s="18"/>
      <c r="Y14" s="18"/>
      <c r="Z14" s="18"/>
    </row>
    <row r="15">
      <c r="E15" s="25"/>
      <c r="F15" s="25"/>
      <c r="G15" s="25"/>
      <c r="H15" s="18"/>
      <c r="I15" s="18"/>
      <c r="J15" s="18"/>
      <c r="K15" s="18"/>
      <c r="L15" s="18"/>
      <c r="M15" s="18"/>
      <c r="N15" s="18"/>
      <c r="O15" s="18"/>
      <c r="P15" s="18"/>
      <c r="Q15" s="18"/>
      <c r="R15" s="18"/>
      <c r="S15" s="18"/>
      <c r="T15" s="18"/>
      <c r="U15" s="18"/>
      <c r="V15" s="18"/>
      <c r="W15" s="18"/>
      <c r="X15" s="18"/>
      <c r="Y15" s="18"/>
      <c r="Z15" s="18"/>
    </row>
    <row r="16">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10">
    <mergeCell ref="C6:D6"/>
    <mergeCell ref="E6:F6"/>
    <mergeCell ref="A1:H2"/>
    <mergeCell ref="A3:H3"/>
    <mergeCell ref="A5:B5"/>
    <mergeCell ref="C5:D5"/>
    <mergeCell ref="E5:F5"/>
    <mergeCell ref="G5:H5"/>
    <mergeCell ref="A6:B6"/>
    <mergeCell ref="G6:H6"/>
  </mergeCells>
  <drawing r:id="rId2"/>
  <extLst>
    <ext uri="{3A4CF648-6AED-40f4-86FF-DC5316D8AED3}">
      <x14:slicerList>
        <x14:slicer r:id="rId3"/>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1.25"/>
    <col customWidth="1" min="3" max="3" width="21.5"/>
    <col customWidth="1" min="4" max="4" width="15.38"/>
  </cols>
  <sheetData>
    <row r="1">
      <c r="A1" s="2" t="s">
        <v>0</v>
      </c>
      <c r="B1" s="3" t="s">
        <v>3</v>
      </c>
      <c r="C1" s="5" t="s">
        <v>5</v>
      </c>
      <c r="D1" s="2" t="s">
        <v>6</v>
      </c>
    </row>
    <row r="2">
      <c r="A2" s="6" t="s">
        <v>9</v>
      </c>
      <c r="B2" s="8">
        <v>3.5</v>
      </c>
      <c r="C2" s="9">
        <v>15000.0</v>
      </c>
      <c r="D2" s="6" t="s">
        <v>11</v>
      </c>
    </row>
    <row r="3">
      <c r="A3" s="6" t="s">
        <v>12</v>
      </c>
      <c r="B3" s="8">
        <v>2.8</v>
      </c>
      <c r="C3" s="9">
        <v>12000.0</v>
      </c>
      <c r="D3" s="6" t="s">
        <v>13</v>
      </c>
    </row>
    <row r="4">
      <c r="A4" s="6" t="s">
        <v>14</v>
      </c>
      <c r="B4" s="8">
        <v>4.0</v>
      </c>
      <c r="C4" s="9">
        <v>10000.0</v>
      </c>
      <c r="D4" s="6" t="s">
        <v>15</v>
      </c>
    </row>
    <row r="5">
      <c r="A5" s="6" t="s">
        <v>16</v>
      </c>
      <c r="B5" s="8">
        <v>3.0</v>
      </c>
      <c r="C5" s="9">
        <v>20000.0</v>
      </c>
      <c r="D5" s="6" t="s">
        <v>17</v>
      </c>
    </row>
    <row r="6">
      <c r="A6" s="6" t="s">
        <v>18</v>
      </c>
      <c r="B6" s="8">
        <v>5.0</v>
      </c>
      <c r="C6" s="9">
        <v>3000.0</v>
      </c>
      <c r="D6" s="6" t="s">
        <v>20</v>
      </c>
    </row>
    <row r="7">
      <c r="B7" s="10"/>
      <c r="C7" s="11"/>
    </row>
    <row r="8">
      <c r="B8" s="10"/>
      <c r="C8" s="11"/>
    </row>
    <row r="9">
      <c r="B9" s="10"/>
      <c r="C9" s="11"/>
    </row>
    <row r="10">
      <c r="B10" s="10"/>
      <c r="C10" s="11"/>
    </row>
    <row r="11">
      <c r="B11" s="10"/>
      <c r="C11" s="11"/>
    </row>
    <row r="12">
      <c r="B12" s="10"/>
      <c r="C12" s="11"/>
    </row>
    <row r="13">
      <c r="B13" s="10"/>
      <c r="C13" s="11"/>
    </row>
    <row r="14">
      <c r="B14" s="10"/>
      <c r="C14" s="11"/>
    </row>
    <row r="15">
      <c r="B15" s="10"/>
      <c r="C15" s="11"/>
    </row>
    <row r="16">
      <c r="B16" s="10"/>
      <c r="C16" s="11"/>
    </row>
    <row r="17">
      <c r="B17" s="10"/>
      <c r="C17" s="11"/>
    </row>
    <row r="18">
      <c r="B18" s="10"/>
      <c r="C18" s="11"/>
    </row>
    <row r="19">
      <c r="B19" s="10"/>
      <c r="C19" s="11"/>
    </row>
    <row r="20">
      <c r="B20" s="10"/>
      <c r="C20" s="11"/>
    </row>
    <row r="21">
      <c r="B21" s="10"/>
      <c r="C21" s="11"/>
    </row>
    <row r="22">
      <c r="B22" s="10"/>
      <c r="C22" s="11"/>
    </row>
    <row r="23">
      <c r="B23" s="10"/>
      <c r="C23" s="11"/>
    </row>
    <row r="24">
      <c r="B24" s="10"/>
      <c r="C24" s="11"/>
    </row>
    <row r="25">
      <c r="B25" s="10"/>
      <c r="C25" s="11"/>
    </row>
    <row r="26">
      <c r="B26" s="10"/>
      <c r="C26" s="11"/>
    </row>
    <row r="27">
      <c r="B27" s="10"/>
      <c r="C27" s="11"/>
    </row>
    <row r="28">
      <c r="B28" s="10"/>
      <c r="C28" s="11"/>
    </row>
    <row r="29">
      <c r="B29" s="10"/>
      <c r="C29" s="11"/>
    </row>
    <row r="30">
      <c r="B30" s="10"/>
      <c r="C30" s="11"/>
    </row>
    <row r="31">
      <c r="B31" s="10"/>
      <c r="C31" s="11"/>
    </row>
    <row r="32">
      <c r="B32" s="10"/>
      <c r="C32" s="11"/>
    </row>
    <row r="33">
      <c r="B33" s="10"/>
      <c r="C33" s="11"/>
    </row>
    <row r="34">
      <c r="B34" s="10"/>
      <c r="C34" s="11"/>
    </row>
    <row r="35">
      <c r="B35" s="10"/>
      <c r="C35" s="11"/>
    </row>
    <row r="36">
      <c r="B36" s="10"/>
      <c r="C36" s="11"/>
    </row>
    <row r="37">
      <c r="B37" s="10"/>
      <c r="C37" s="11"/>
    </row>
    <row r="38">
      <c r="B38" s="10"/>
      <c r="C38" s="11"/>
    </row>
    <row r="39">
      <c r="B39" s="10"/>
      <c r="C39" s="11"/>
    </row>
    <row r="40">
      <c r="B40" s="10"/>
      <c r="C40" s="11"/>
    </row>
    <row r="41">
      <c r="B41" s="10"/>
      <c r="C41" s="11"/>
    </row>
    <row r="42">
      <c r="B42" s="10"/>
      <c r="C42" s="11"/>
    </row>
    <row r="43">
      <c r="B43" s="10"/>
      <c r="C43" s="11"/>
    </row>
    <row r="44">
      <c r="B44" s="10"/>
      <c r="C44" s="11"/>
    </row>
    <row r="45">
      <c r="B45" s="10"/>
      <c r="C45" s="11"/>
    </row>
    <row r="46">
      <c r="B46" s="10"/>
      <c r="C46" s="11"/>
    </row>
    <row r="47">
      <c r="B47" s="10"/>
      <c r="C47" s="11"/>
    </row>
    <row r="48">
      <c r="B48" s="10"/>
      <c r="C48" s="11"/>
    </row>
    <row r="49">
      <c r="B49" s="10"/>
      <c r="C49" s="11"/>
    </row>
    <row r="50">
      <c r="B50" s="10"/>
      <c r="C50" s="11"/>
    </row>
    <row r="51">
      <c r="B51" s="10"/>
      <c r="C51" s="11"/>
    </row>
    <row r="52">
      <c r="B52" s="10"/>
      <c r="C52" s="11"/>
    </row>
    <row r="53">
      <c r="B53" s="10"/>
      <c r="C53" s="11"/>
    </row>
    <row r="54">
      <c r="B54" s="10"/>
      <c r="C54" s="11"/>
    </row>
    <row r="55">
      <c r="B55" s="10"/>
      <c r="C55" s="11"/>
    </row>
    <row r="56">
      <c r="B56" s="10"/>
      <c r="C56" s="11"/>
    </row>
    <row r="57">
      <c r="B57" s="10"/>
      <c r="C57" s="11"/>
    </row>
    <row r="58">
      <c r="B58" s="10"/>
      <c r="C58" s="11"/>
    </row>
    <row r="59">
      <c r="B59" s="10"/>
      <c r="C59" s="11"/>
    </row>
    <row r="60">
      <c r="B60" s="10"/>
      <c r="C60" s="11"/>
    </row>
    <row r="61">
      <c r="B61" s="10"/>
      <c r="C61" s="11"/>
    </row>
    <row r="62">
      <c r="B62" s="10"/>
      <c r="C62" s="11"/>
    </row>
    <row r="63">
      <c r="B63" s="10"/>
      <c r="C63" s="11"/>
    </row>
    <row r="64">
      <c r="B64" s="10"/>
      <c r="C64" s="11"/>
    </row>
    <row r="65">
      <c r="B65" s="10"/>
      <c r="C65" s="11"/>
    </row>
    <row r="66">
      <c r="B66" s="10"/>
      <c r="C66" s="11"/>
    </row>
    <row r="67">
      <c r="B67" s="10"/>
      <c r="C67" s="11"/>
    </row>
    <row r="68">
      <c r="B68" s="10"/>
      <c r="C68" s="11"/>
    </row>
    <row r="69">
      <c r="B69" s="10"/>
      <c r="C69" s="11"/>
    </row>
    <row r="70">
      <c r="B70" s="10"/>
      <c r="C70" s="11"/>
    </row>
    <row r="71">
      <c r="B71" s="10"/>
      <c r="C71" s="11"/>
    </row>
    <row r="72">
      <c r="B72" s="10"/>
      <c r="C72" s="11"/>
    </row>
    <row r="73">
      <c r="B73" s="10"/>
      <c r="C73" s="11"/>
    </row>
    <row r="74">
      <c r="B74" s="10"/>
      <c r="C74" s="11"/>
    </row>
    <row r="75">
      <c r="B75" s="10"/>
      <c r="C75" s="11"/>
    </row>
    <row r="76">
      <c r="B76" s="10"/>
      <c r="C76" s="11"/>
    </row>
    <row r="77">
      <c r="B77" s="10"/>
      <c r="C77" s="11"/>
    </row>
    <row r="78">
      <c r="B78" s="10"/>
      <c r="C78" s="11"/>
    </row>
    <row r="79">
      <c r="B79" s="10"/>
      <c r="C79" s="11"/>
    </row>
    <row r="80">
      <c r="B80" s="10"/>
      <c r="C80" s="11"/>
    </row>
    <row r="81">
      <c r="B81" s="10"/>
      <c r="C81" s="11"/>
    </row>
    <row r="82">
      <c r="B82" s="10"/>
      <c r="C82" s="11"/>
    </row>
    <row r="83">
      <c r="B83" s="10"/>
      <c r="C83" s="11"/>
    </row>
    <row r="84">
      <c r="B84" s="10"/>
      <c r="C84" s="11"/>
    </row>
    <row r="85">
      <c r="B85" s="10"/>
      <c r="C85" s="11"/>
    </row>
    <row r="86">
      <c r="B86" s="10"/>
      <c r="C86" s="11"/>
    </row>
    <row r="87">
      <c r="B87" s="10"/>
      <c r="C87" s="11"/>
    </row>
    <row r="88">
      <c r="B88" s="10"/>
      <c r="C88" s="11"/>
    </row>
    <row r="89">
      <c r="B89" s="10"/>
      <c r="C89" s="11"/>
    </row>
    <row r="90">
      <c r="B90" s="10"/>
      <c r="C90" s="11"/>
    </row>
    <row r="91">
      <c r="B91" s="10"/>
      <c r="C91" s="11"/>
    </row>
    <row r="92">
      <c r="B92" s="10"/>
      <c r="C92" s="11"/>
    </row>
    <row r="93">
      <c r="B93" s="10"/>
      <c r="C93" s="11"/>
    </row>
    <row r="94">
      <c r="B94" s="10"/>
      <c r="C94" s="11"/>
    </row>
    <row r="95">
      <c r="B95" s="10"/>
      <c r="C95" s="11"/>
    </row>
    <row r="96">
      <c r="B96" s="10"/>
      <c r="C96" s="11"/>
    </row>
    <row r="97">
      <c r="B97" s="10"/>
      <c r="C97" s="11"/>
    </row>
    <row r="98">
      <c r="B98" s="10"/>
      <c r="C98" s="11"/>
    </row>
    <row r="99">
      <c r="B99" s="10"/>
      <c r="C99" s="11"/>
    </row>
    <row r="100">
      <c r="B100" s="10"/>
      <c r="C100" s="11"/>
    </row>
    <row r="101">
      <c r="B101" s="10"/>
      <c r="C101" s="11"/>
    </row>
    <row r="102">
      <c r="B102" s="10"/>
      <c r="C102" s="11"/>
    </row>
    <row r="103">
      <c r="B103" s="10"/>
      <c r="C103" s="11"/>
    </row>
    <row r="104">
      <c r="B104" s="10"/>
      <c r="C104" s="11"/>
    </row>
    <row r="105">
      <c r="B105" s="10"/>
      <c r="C105" s="11"/>
    </row>
    <row r="106">
      <c r="B106" s="10"/>
      <c r="C106" s="11"/>
    </row>
    <row r="107">
      <c r="B107" s="10"/>
      <c r="C107" s="11"/>
    </row>
    <row r="108">
      <c r="B108" s="10"/>
      <c r="C108" s="11"/>
    </row>
    <row r="109">
      <c r="B109" s="10"/>
      <c r="C109" s="11"/>
    </row>
    <row r="110">
      <c r="B110" s="10"/>
      <c r="C110" s="11"/>
    </row>
    <row r="111">
      <c r="B111" s="10"/>
      <c r="C111" s="11"/>
    </row>
    <row r="112">
      <c r="B112" s="10"/>
      <c r="C112" s="11"/>
    </row>
    <row r="113">
      <c r="B113" s="10"/>
      <c r="C113" s="11"/>
    </row>
    <row r="114">
      <c r="B114" s="10"/>
      <c r="C114" s="11"/>
    </row>
    <row r="115">
      <c r="B115" s="10"/>
      <c r="C115" s="11"/>
    </row>
    <row r="116">
      <c r="B116" s="10"/>
      <c r="C116" s="11"/>
    </row>
    <row r="117">
      <c r="B117" s="10"/>
      <c r="C117" s="11"/>
    </row>
    <row r="118">
      <c r="B118" s="10"/>
      <c r="C118" s="11"/>
    </row>
    <row r="119">
      <c r="B119" s="10"/>
      <c r="C119" s="11"/>
    </row>
    <row r="120">
      <c r="B120" s="10"/>
      <c r="C120" s="11"/>
    </row>
    <row r="121">
      <c r="B121" s="10"/>
      <c r="C121" s="11"/>
    </row>
    <row r="122">
      <c r="B122" s="10"/>
      <c r="C122" s="11"/>
    </row>
    <row r="123">
      <c r="B123" s="10"/>
      <c r="C123" s="11"/>
    </row>
    <row r="124">
      <c r="B124" s="10"/>
      <c r="C124" s="11"/>
    </row>
    <row r="125">
      <c r="B125" s="10"/>
      <c r="C125" s="11"/>
    </row>
    <row r="126">
      <c r="B126" s="10"/>
      <c r="C126" s="11"/>
    </row>
    <row r="127">
      <c r="B127" s="10"/>
      <c r="C127" s="11"/>
    </row>
    <row r="128">
      <c r="B128" s="10"/>
      <c r="C128" s="11"/>
    </row>
    <row r="129">
      <c r="B129" s="10"/>
      <c r="C129" s="11"/>
    </row>
    <row r="130">
      <c r="B130" s="10"/>
      <c r="C130" s="11"/>
    </row>
    <row r="131">
      <c r="B131" s="10"/>
      <c r="C131" s="11"/>
    </row>
    <row r="132">
      <c r="B132" s="10"/>
      <c r="C132" s="11"/>
    </row>
    <row r="133">
      <c r="B133" s="10"/>
      <c r="C133" s="11"/>
    </row>
    <row r="134">
      <c r="B134" s="10"/>
      <c r="C134" s="11"/>
    </row>
    <row r="135">
      <c r="B135" s="10"/>
      <c r="C135" s="11"/>
    </row>
    <row r="136">
      <c r="B136" s="10"/>
      <c r="C136" s="11"/>
    </row>
    <row r="137">
      <c r="B137" s="10"/>
      <c r="C137" s="11"/>
    </row>
    <row r="138">
      <c r="B138" s="10"/>
      <c r="C138" s="11"/>
    </row>
    <row r="139">
      <c r="B139" s="10"/>
      <c r="C139" s="11"/>
    </row>
    <row r="140">
      <c r="B140" s="10"/>
      <c r="C140" s="11"/>
    </row>
    <row r="141">
      <c r="B141" s="10"/>
      <c r="C141" s="11"/>
    </row>
    <row r="142">
      <c r="B142" s="10"/>
      <c r="C142" s="11"/>
    </row>
    <row r="143">
      <c r="B143" s="10"/>
      <c r="C143" s="11"/>
    </row>
    <row r="144">
      <c r="B144" s="10"/>
      <c r="C144" s="11"/>
    </row>
    <row r="145">
      <c r="B145" s="10"/>
      <c r="C145" s="11"/>
    </row>
    <row r="146">
      <c r="B146" s="10"/>
      <c r="C146" s="11"/>
    </row>
    <row r="147">
      <c r="B147" s="10"/>
      <c r="C147" s="11"/>
    </row>
    <row r="148">
      <c r="B148" s="10"/>
      <c r="C148" s="11"/>
    </row>
    <row r="149">
      <c r="B149" s="10"/>
      <c r="C149" s="11"/>
    </row>
    <row r="150">
      <c r="B150" s="10"/>
      <c r="C150" s="11"/>
    </row>
    <row r="151">
      <c r="B151" s="10"/>
      <c r="C151" s="11"/>
    </row>
    <row r="152">
      <c r="B152" s="10"/>
      <c r="C152" s="11"/>
    </row>
    <row r="153">
      <c r="B153" s="10"/>
      <c r="C153" s="11"/>
    </row>
    <row r="154">
      <c r="B154" s="10"/>
      <c r="C154" s="11"/>
    </row>
    <row r="155">
      <c r="B155" s="10"/>
      <c r="C155" s="11"/>
    </row>
    <row r="156">
      <c r="B156" s="10"/>
      <c r="C156" s="11"/>
    </row>
    <row r="157">
      <c r="B157" s="10"/>
      <c r="C157" s="11"/>
    </row>
    <row r="158">
      <c r="B158" s="10"/>
      <c r="C158" s="11"/>
    </row>
    <row r="159">
      <c r="B159" s="10"/>
      <c r="C159" s="11"/>
    </row>
    <row r="160">
      <c r="B160" s="10"/>
      <c r="C160" s="11"/>
    </row>
    <row r="161">
      <c r="B161" s="10"/>
      <c r="C161" s="11"/>
    </row>
    <row r="162">
      <c r="B162" s="10"/>
      <c r="C162" s="11"/>
    </row>
    <row r="163">
      <c r="B163" s="10"/>
      <c r="C163" s="11"/>
    </row>
    <row r="164">
      <c r="B164" s="10"/>
      <c r="C164" s="11"/>
    </row>
    <row r="165">
      <c r="B165" s="10"/>
      <c r="C165" s="11"/>
    </row>
    <row r="166">
      <c r="B166" s="10"/>
      <c r="C166" s="11"/>
    </row>
    <row r="167">
      <c r="B167" s="10"/>
      <c r="C167" s="11"/>
    </row>
    <row r="168">
      <c r="B168" s="10"/>
      <c r="C168" s="11"/>
    </row>
    <row r="169">
      <c r="B169" s="10"/>
      <c r="C169" s="11"/>
    </row>
    <row r="170">
      <c r="B170" s="10"/>
      <c r="C170" s="11"/>
    </row>
    <row r="171">
      <c r="B171" s="10"/>
      <c r="C171" s="11"/>
    </row>
    <row r="172">
      <c r="B172" s="10"/>
      <c r="C172" s="11"/>
    </row>
    <row r="173">
      <c r="B173" s="10"/>
      <c r="C173" s="11"/>
    </row>
    <row r="174">
      <c r="B174" s="10"/>
      <c r="C174" s="11"/>
    </row>
    <row r="175">
      <c r="B175" s="10"/>
      <c r="C175" s="11"/>
    </row>
    <row r="176">
      <c r="B176" s="10"/>
      <c r="C176" s="11"/>
    </row>
    <row r="177">
      <c r="B177" s="10"/>
      <c r="C177" s="11"/>
    </row>
    <row r="178">
      <c r="B178" s="10"/>
      <c r="C178" s="11"/>
    </row>
    <row r="179">
      <c r="B179" s="10"/>
      <c r="C179" s="11"/>
    </row>
    <row r="180">
      <c r="B180" s="10"/>
      <c r="C180" s="11"/>
    </row>
    <row r="181">
      <c r="B181" s="10"/>
      <c r="C181" s="11"/>
    </row>
    <row r="182">
      <c r="B182" s="10"/>
      <c r="C182" s="11"/>
    </row>
    <row r="183">
      <c r="B183" s="10"/>
      <c r="C183" s="11"/>
    </row>
    <row r="184">
      <c r="B184" s="10"/>
      <c r="C184" s="11"/>
    </row>
    <row r="185">
      <c r="B185" s="10"/>
      <c r="C185" s="11"/>
    </row>
    <row r="186">
      <c r="B186" s="10"/>
      <c r="C186" s="11"/>
    </row>
    <row r="187">
      <c r="B187" s="10"/>
      <c r="C187" s="11"/>
    </row>
    <row r="188">
      <c r="B188" s="10"/>
      <c r="C188" s="11"/>
    </row>
    <row r="189">
      <c r="B189" s="10"/>
      <c r="C189" s="11"/>
    </row>
    <row r="190">
      <c r="B190" s="10"/>
      <c r="C190" s="11"/>
    </row>
    <row r="191">
      <c r="B191" s="10"/>
      <c r="C191" s="11"/>
    </row>
    <row r="192">
      <c r="B192" s="10"/>
      <c r="C192" s="11"/>
    </row>
    <row r="193">
      <c r="B193" s="10"/>
      <c r="C193" s="11"/>
    </row>
    <row r="194">
      <c r="B194" s="10"/>
      <c r="C194" s="11"/>
    </row>
    <row r="195">
      <c r="B195" s="10"/>
      <c r="C195" s="11"/>
    </row>
    <row r="196">
      <c r="B196" s="10"/>
      <c r="C196" s="11"/>
    </row>
    <row r="197">
      <c r="B197" s="10"/>
      <c r="C197" s="11"/>
    </row>
    <row r="198">
      <c r="B198" s="10"/>
      <c r="C198" s="11"/>
    </row>
    <row r="199">
      <c r="B199" s="10"/>
      <c r="C199" s="11"/>
    </row>
    <row r="200">
      <c r="B200" s="10"/>
      <c r="C200" s="11"/>
    </row>
    <row r="201">
      <c r="B201" s="10"/>
      <c r="C201" s="11"/>
    </row>
    <row r="202">
      <c r="B202" s="10"/>
      <c r="C202" s="11"/>
    </row>
    <row r="203">
      <c r="B203" s="10"/>
      <c r="C203" s="11"/>
    </row>
    <row r="204">
      <c r="B204" s="10"/>
      <c r="C204" s="11"/>
    </row>
    <row r="205">
      <c r="B205" s="10"/>
      <c r="C205" s="11"/>
    </row>
    <row r="206">
      <c r="B206" s="10"/>
      <c r="C206" s="11"/>
    </row>
    <row r="207">
      <c r="B207" s="10"/>
      <c r="C207" s="11"/>
    </row>
    <row r="208">
      <c r="B208" s="10"/>
      <c r="C208" s="11"/>
    </row>
    <row r="209">
      <c r="B209" s="10"/>
      <c r="C209" s="11"/>
    </row>
    <row r="210">
      <c r="B210" s="10"/>
      <c r="C210" s="11"/>
    </row>
    <row r="211">
      <c r="B211" s="10"/>
      <c r="C211" s="11"/>
    </row>
    <row r="212">
      <c r="B212" s="10"/>
      <c r="C212" s="11"/>
    </row>
    <row r="213">
      <c r="B213" s="10"/>
      <c r="C213" s="11"/>
    </row>
    <row r="214">
      <c r="B214" s="10"/>
      <c r="C214" s="11"/>
    </row>
    <row r="215">
      <c r="B215" s="10"/>
      <c r="C215" s="11"/>
    </row>
    <row r="216">
      <c r="B216" s="10"/>
      <c r="C216" s="11"/>
    </row>
    <row r="217">
      <c r="B217" s="10"/>
      <c r="C217" s="11"/>
    </row>
    <row r="218">
      <c r="B218" s="10"/>
      <c r="C218" s="11"/>
    </row>
    <row r="219">
      <c r="B219" s="10"/>
      <c r="C219" s="11"/>
    </row>
    <row r="220">
      <c r="B220" s="10"/>
      <c r="C220" s="11"/>
    </row>
    <row r="221">
      <c r="B221" s="10"/>
      <c r="C221" s="11"/>
    </row>
    <row r="222">
      <c r="B222" s="10"/>
      <c r="C222" s="11"/>
    </row>
    <row r="223">
      <c r="B223" s="10"/>
      <c r="C223" s="11"/>
    </row>
    <row r="224">
      <c r="B224" s="10"/>
      <c r="C224" s="11"/>
    </row>
    <row r="225">
      <c r="B225" s="10"/>
      <c r="C225" s="11"/>
    </row>
    <row r="226">
      <c r="B226" s="10"/>
      <c r="C226" s="11"/>
    </row>
    <row r="227">
      <c r="B227" s="10"/>
      <c r="C227" s="11"/>
    </row>
    <row r="228">
      <c r="B228" s="10"/>
      <c r="C228" s="11"/>
    </row>
    <row r="229">
      <c r="B229" s="10"/>
      <c r="C229" s="11"/>
    </row>
    <row r="230">
      <c r="B230" s="10"/>
      <c r="C230" s="11"/>
    </row>
    <row r="231">
      <c r="B231" s="10"/>
      <c r="C231" s="11"/>
    </row>
    <row r="232">
      <c r="B232" s="10"/>
      <c r="C232" s="11"/>
    </row>
    <row r="233">
      <c r="B233" s="10"/>
      <c r="C233" s="11"/>
    </row>
    <row r="234">
      <c r="B234" s="10"/>
      <c r="C234" s="11"/>
    </row>
    <row r="235">
      <c r="B235" s="10"/>
      <c r="C235" s="11"/>
    </row>
    <row r="236">
      <c r="B236" s="10"/>
      <c r="C236" s="11"/>
    </row>
    <row r="237">
      <c r="B237" s="10"/>
      <c r="C237" s="11"/>
    </row>
    <row r="238">
      <c r="B238" s="10"/>
      <c r="C238" s="11"/>
    </row>
    <row r="239">
      <c r="B239" s="10"/>
      <c r="C239" s="11"/>
    </row>
    <row r="240">
      <c r="B240" s="10"/>
      <c r="C240" s="11"/>
    </row>
    <row r="241">
      <c r="B241" s="10"/>
      <c r="C241" s="11"/>
    </row>
    <row r="242">
      <c r="B242" s="10"/>
      <c r="C242" s="11"/>
    </row>
    <row r="243">
      <c r="B243" s="10"/>
      <c r="C243" s="11"/>
    </row>
    <row r="244">
      <c r="B244" s="10"/>
      <c r="C244" s="11"/>
    </row>
    <row r="245">
      <c r="B245" s="10"/>
      <c r="C245" s="11"/>
    </row>
    <row r="246">
      <c r="B246" s="10"/>
      <c r="C246" s="11"/>
    </row>
    <row r="247">
      <c r="B247" s="10"/>
      <c r="C247" s="11"/>
    </row>
    <row r="248">
      <c r="B248" s="10"/>
      <c r="C248" s="11"/>
    </row>
    <row r="249">
      <c r="B249" s="10"/>
      <c r="C249" s="11"/>
    </row>
    <row r="250">
      <c r="B250" s="10"/>
      <c r="C250" s="11"/>
    </row>
    <row r="251">
      <c r="B251" s="10"/>
      <c r="C251" s="11"/>
    </row>
    <row r="252">
      <c r="B252" s="10"/>
      <c r="C252" s="11"/>
    </row>
    <row r="253">
      <c r="B253" s="10"/>
      <c r="C253" s="11"/>
    </row>
    <row r="254">
      <c r="B254" s="10"/>
      <c r="C254" s="11"/>
    </row>
    <row r="255">
      <c r="B255" s="10"/>
      <c r="C255" s="11"/>
    </row>
    <row r="256">
      <c r="B256" s="10"/>
      <c r="C256" s="11"/>
    </row>
    <row r="257">
      <c r="B257" s="10"/>
      <c r="C257" s="11"/>
    </row>
    <row r="258">
      <c r="B258" s="10"/>
      <c r="C258" s="11"/>
    </row>
    <row r="259">
      <c r="B259" s="10"/>
      <c r="C259" s="11"/>
    </row>
    <row r="260">
      <c r="B260" s="10"/>
      <c r="C260" s="11"/>
    </row>
    <row r="261">
      <c r="B261" s="10"/>
      <c r="C261" s="11"/>
    </row>
    <row r="262">
      <c r="B262" s="10"/>
      <c r="C262" s="11"/>
    </row>
    <row r="263">
      <c r="B263" s="10"/>
      <c r="C263" s="11"/>
    </row>
    <row r="264">
      <c r="B264" s="10"/>
      <c r="C264" s="11"/>
    </row>
    <row r="265">
      <c r="B265" s="10"/>
      <c r="C265" s="11"/>
    </row>
    <row r="266">
      <c r="B266" s="10"/>
      <c r="C266" s="11"/>
    </row>
    <row r="267">
      <c r="B267" s="10"/>
      <c r="C267" s="11"/>
    </row>
    <row r="268">
      <c r="B268" s="10"/>
      <c r="C268" s="11"/>
    </row>
    <row r="269">
      <c r="B269" s="10"/>
      <c r="C269" s="11"/>
    </row>
    <row r="270">
      <c r="B270" s="10"/>
      <c r="C270" s="11"/>
    </row>
    <row r="271">
      <c r="B271" s="10"/>
      <c r="C271" s="11"/>
    </row>
    <row r="272">
      <c r="B272" s="10"/>
      <c r="C272" s="11"/>
    </row>
    <row r="273">
      <c r="B273" s="10"/>
      <c r="C273" s="11"/>
    </row>
    <row r="274">
      <c r="B274" s="10"/>
      <c r="C274" s="11"/>
    </row>
    <row r="275">
      <c r="B275" s="10"/>
      <c r="C275" s="11"/>
    </row>
    <row r="276">
      <c r="B276" s="10"/>
      <c r="C276" s="11"/>
    </row>
    <row r="277">
      <c r="B277" s="10"/>
      <c r="C277" s="11"/>
    </row>
    <row r="278">
      <c r="B278" s="10"/>
      <c r="C278" s="11"/>
    </row>
    <row r="279">
      <c r="B279" s="10"/>
      <c r="C279" s="11"/>
    </row>
    <row r="280">
      <c r="B280" s="10"/>
      <c r="C280" s="11"/>
    </row>
    <row r="281">
      <c r="B281" s="10"/>
      <c r="C281" s="11"/>
    </row>
    <row r="282">
      <c r="B282" s="10"/>
      <c r="C282" s="11"/>
    </row>
    <row r="283">
      <c r="B283" s="10"/>
      <c r="C283" s="11"/>
    </row>
    <row r="284">
      <c r="B284" s="10"/>
      <c r="C284" s="11"/>
    </row>
    <row r="285">
      <c r="B285" s="10"/>
      <c r="C285" s="11"/>
    </row>
    <row r="286">
      <c r="B286" s="10"/>
      <c r="C286" s="11"/>
    </row>
    <row r="287">
      <c r="B287" s="10"/>
      <c r="C287" s="11"/>
    </row>
    <row r="288">
      <c r="B288" s="10"/>
      <c r="C288" s="11"/>
    </row>
    <row r="289">
      <c r="B289" s="10"/>
      <c r="C289" s="11"/>
    </row>
    <row r="290">
      <c r="B290" s="10"/>
      <c r="C290" s="11"/>
    </row>
    <row r="291">
      <c r="B291" s="10"/>
      <c r="C291" s="11"/>
    </row>
    <row r="292">
      <c r="B292" s="10"/>
      <c r="C292" s="11"/>
    </row>
    <row r="293">
      <c r="B293" s="10"/>
      <c r="C293" s="11"/>
    </row>
    <row r="294">
      <c r="B294" s="10"/>
      <c r="C294" s="11"/>
    </row>
    <row r="295">
      <c r="B295" s="10"/>
      <c r="C295" s="11"/>
    </row>
    <row r="296">
      <c r="B296" s="10"/>
      <c r="C296" s="11"/>
    </row>
    <row r="297">
      <c r="B297" s="10"/>
      <c r="C297" s="11"/>
    </row>
    <row r="298">
      <c r="B298" s="10"/>
      <c r="C298" s="11"/>
    </row>
    <row r="299">
      <c r="B299" s="10"/>
      <c r="C299" s="11"/>
    </row>
    <row r="300">
      <c r="B300" s="10"/>
      <c r="C300" s="11"/>
    </row>
    <row r="301">
      <c r="B301" s="10"/>
      <c r="C301" s="11"/>
    </row>
    <row r="302">
      <c r="B302" s="10"/>
      <c r="C302" s="11"/>
    </row>
    <row r="303">
      <c r="B303" s="10"/>
      <c r="C303" s="11"/>
    </row>
    <row r="304">
      <c r="B304" s="10"/>
      <c r="C304" s="11"/>
    </row>
    <row r="305">
      <c r="B305" s="10"/>
      <c r="C305" s="11"/>
    </row>
    <row r="306">
      <c r="B306" s="10"/>
      <c r="C306" s="11"/>
    </row>
    <row r="307">
      <c r="B307" s="10"/>
      <c r="C307" s="11"/>
    </row>
    <row r="308">
      <c r="B308" s="10"/>
      <c r="C308" s="11"/>
    </row>
    <row r="309">
      <c r="B309" s="10"/>
      <c r="C309" s="11"/>
    </row>
    <row r="310">
      <c r="B310" s="10"/>
      <c r="C310" s="11"/>
    </row>
    <row r="311">
      <c r="B311" s="10"/>
      <c r="C311" s="11"/>
    </row>
    <row r="312">
      <c r="B312" s="10"/>
      <c r="C312" s="11"/>
    </row>
    <row r="313">
      <c r="B313" s="10"/>
      <c r="C313" s="11"/>
    </row>
    <row r="314">
      <c r="B314" s="10"/>
      <c r="C314" s="11"/>
    </row>
    <row r="315">
      <c r="B315" s="10"/>
      <c r="C315" s="11"/>
    </row>
    <row r="316">
      <c r="B316" s="10"/>
      <c r="C316" s="11"/>
    </row>
    <row r="317">
      <c r="B317" s="10"/>
      <c r="C317" s="11"/>
    </row>
    <row r="318">
      <c r="B318" s="10"/>
      <c r="C318" s="11"/>
    </row>
    <row r="319">
      <c r="B319" s="10"/>
      <c r="C319" s="11"/>
    </row>
    <row r="320">
      <c r="B320" s="10"/>
      <c r="C320" s="11"/>
    </row>
    <row r="321">
      <c r="B321" s="10"/>
      <c r="C321" s="11"/>
    </row>
    <row r="322">
      <c r="B322" s="10"/>
      <c r="C322" s="11"/>
    </row>
    <row r="323">
      <c r="B323" s="10"/>
      <c r="C323" s="11"/>
    </row>
    <row r="324">
      <c r="B324" s="10"/>
      <c r="C324" s="11"/>
    </row>
    <row r="325">
      <c r="B325" s="10"/>
      <c r="C325" s="11"/>
    </row>
    <row r="326">
      <c r="B326" s="10"/>
      <c r="C326" s="11"/>
    </row>
    <row r="327">
      <c r="B327" s="10"/>
      <c r="C327" s="11"/>
    </row>
    <row r="328">
      <c r="B328" s="10"/>
      <c r="C328" s="11"/>
    </row>
    <row r="329">
      <c r="B329" s="10"/>
      <c r="C329" s="11"/>
    </row>
    <row r="330">
      <c r="B330" s="10"/>
      <c r="C330" s="11"/>
    </row>
    <row r="331">
      <c r="B331" s="10"/>
      <c r="C331" s="11"/>
    </row>
    <row r="332">
      <c r="B332" s="10"/>
      <c r="C332" s="11"/>
    </row>
    <row r="333">
      <c r="B333" s="10"/>
      <c r="C333" s="11"/>
    </row>
    <row r="334">
      <c r="B334" s="10"/>
      <c r="C334" s="11"/>
    </row>
    <row r="335">
      <c r="B335" s="10"/>
      <c r="C335" s="11"/>
    </row>
    <row r="336">
      <c r="B336" s="10"/>
      <c r="C336" s="11"/>
    </row>
    <row r="337">
      <c r="B337" s="10"/>
      <c r="C337" s="11"/>
    </row>
    <row r="338">
      <c r="B338" s="10"/>
      <c r="C338" s="11"/>
    </row>
    <row r="339">
      <c r="B339" s="10"/>
      <c r="C339" s="11"/>
    </row>
    <row r="340">
      <c r="B340" s="10"/>
      <c r="C340" s="11"/>
    </row>
    <row r="341">
      <c r="B341" s="10"/>
      <c r="C341" s="11"/>
    </row>
    <row r="342">
      <c r="B342" s="10"/>
      <c r="C342" s="11"/>
    </row>
    <row r="343">
      <c r="B343" s="10"/>
      <c r="C343" s="11"/>
    </row>
    <row r="344">
      <c r="B344" s="10"/>
      <c r="C344" s="11"/>
    </row>
    <row r="345">
      <c r="B345" s="10"/>
      <c r="C345" s="11"/>
    </row>
    <row r="346">
      <c r="B346" s="10"/>
      <c r="C346" s="11"/>
    </row>
    <row r="347">
      <c r="B347" s="10"/>
      <c r="C347" s="11"/>
    </row>
    <row r="348">
      <c r="B348" s="10"/>
      <c r="C348" s="11"/>
    </row>
    <row r="349">
      <c r="B349" s="10"/>
      <c r="C349" s="11"/>
    </row>
    <row r="350">
      <c r="B350" s="10"/>
      <c r="C350" s="11"/>
    </row>
    <row r="351">
      <c r="B351" s="10"/>
      <c r="C351" s="11"/>
    </row>
    <row r="352">
      <c r="B352" s="10"/>
      <c r="C352" s="11"/>
    </row>
    <row r="353">
      <c r="B353" s="10"/>
      <c r="C353" s="11"/>
    </row>
    <row r="354">
      <c r="B354" s="10"/>
      <c r="C354" s="11"/>
    </row>
    <row r="355">
      <c r="B355" s="10"/>
      <c r="C355" s="11"/>
    </row>
    <row r="356">
      <c r="B356" s="10"/>
      <c r="C356" s="11"/>
    </row>
    <row r="357">
      <c r="B357" s="10"/>
      <c r="C357" s="11"/>
    </row>
    <row r="358">
      <c r="B358" s="10"/>
      <c r="C358" s="11"/>
    </row>
    <row r="359">
      <c r="B359" s="10"/>
      <c r="C359" s="11"/>
    </row>
    <row r="360">
      <c r="B360" s="10"/>
      <c r="C360" s="11"/>
    </row>
    <row r="361">
      <c r="B361" s="10"/>
      <c r="C361" s="11"/>
    </row>
    <row r="362">
      <c r="B362" s="10"/>
      <c r="C362" s="11"/>
    </row>
    <row r="363">
      <c r="B363" s="10"/>
      <c r="C363" s="11"/>
    </row>
    <row r="364">
      <c r="B364" s="10"/>
      <c r="C364" s="11"/>
    </row>
    <row r="365">
      <c r="B365" s="10"/>
      <c r="C365" s="11"/>
    </row>
    <row r="366">
      <c r="B366" s="10"/>
      <c r="C366" s="11"/>
    </row>
    <row r="367">
      <c r="B367" s="10"/>
      <c r="C367" s="11"/>
    </row>
    <row r="368">
      <c r="B368" s="10"/>
      <c r="C368" s="11"/>
    </row>
    <row r="369">
      <c r="B369" s="10"/>
      <c r="C369" s="11"/>
    </row>
    <row r="370">
      <c r="B370" s="10"/>
      <c r="C370" s="11"/>
    </row>
    <row r="371">
      <c r="B371" s="10"/>
      <c r="C371" s="11"/>
    </row>
    <row r="372">
      <c r="B372" s="10"/>
      <c r="C372" s="11"/>
    </row>
    <row r="373">
      <c r="B373" s="10"/>
      <c r="C373" s="11"/>
    </row>
    <row r="374">
      <c r="B374" s="10"/>
      <c r="C374" s="11"/>
    </row>
    <row r="375">
      <c r="B375" s="10"/>
      <c r="C375" s="11"/>
    </row>
    <row r="376">
      <c r="B376" s="10"/>
      <c r="C376" s="11"/>
    </row>
    <row r="377">
      <c r="B377" s="10"/>
      <c r="C377" s="11"/>
    </row>
    <row r="378">
      <c r="B378" s="10"/>
      <c r="C378" s="11"/>
    </row>
    <row r="379">
      <c r="B379" s="10"/>
      <c r="C379" s="11"/>
    </row>
    <row r="380">
      <c r="B380" s="10"/>
      <c r="C380" s="11"/>
    </row>
    <row r="381">
      <c r="B381" s="10"/>
      <c r="C381" s="11"/>
    </row>
    <row r="382">
      <c r="B382" s="10"/>
      <c r="C382" s="11"/>
    </row>
    <row r="383">
      <c r="B383" s="10"/>
      <c r="C383" s="11"/>
    </row>
    <row r="384">
      <c r="B384" s="10"/>
      <c r="C384" s="11"/>
    </row>
    <row r="385">
      <c r="B385" s="10"/>
      <c r="C385" s="11"/>
    </row>
    <row r="386">
      <c r="B386" s="10"/>
      <c r="C386" s="11"/>
    </row>
    <row r="387">
      <c r="B387" s="10"/>
      <c r="C387" s="11"/>
    </row>
    <row r="388">
      <c r="B388" s="10"/>
      <c r="C388" s="11"/>
    </row>
    <row r="389">
      <c r="B389" s="10"/>
      <c r="C389" s="11"/>
    </row>
    <row r="390">
      <c r="B390" s="10"/>
      <c r="C390" s="11"/>
    </row>
    <row r="391">
      <c r="B391" s="10"/>
      <c r="C391" s="11"/>
    </row>
    <row r="392">
      <c r="B392" s="10"/>
      <c r="C392" s="11"/>
    </row>
    <row r="393">
      <c r="B393" s="10"/>
      <c r="C393" s="11"/>
    </row>
    <row r="394">
      <c r="B394" s="10"/>
      <c r="C394" s="11"/>
    </row>
    <row r="395">
      <c r="B395" s="10"/>
      <c r="C395" s="11"/>
    </row>
    <row r="396">
      <c r="B396" s="10"/>
      <c r="C396" s="11"/>
    </row>
    <row r="397">
      <c r="B397" s="10"/>
      <c r="C397" s="11"/>
    </row>
    <row r="398">
      <c r="B398" s="10"/>
      <c r="C398" s="11"/>
    </row>
    <row r="399">
      <c r="B399" s="10"/>
      <c r="C399" s="11"/>
    </row>
    <row r="400">
      <c r="B400" s="10"/>
      <c r="C400" s="11"/>
    </row>
    <row r="401">
      <c r="B401" s="10"/>
      <c r="C401" s="11"/>
    </row>
    <row r="402">
      <c r="B402" s="10"/>
      <c r="C402" s="11"/>
    </row>
    <row r="403">
      <c r="B403" s="10"/>
      <c r="C403" s="11"/>
    </row>
    <row r="404">
      <c r="B404" s="10"/>
      <c r="C404" s="11"/>
    </row>
    <row r="405">
      <c r="B405" s="10"/>
      <c r="C405" s="11"/>
    </row>
    <row r="406">
      <c r="B406" s="10"/>
      <c r="C406" s="11"/>
    </row>
    <row r="407">
      <c r="B407" s="10"/>
      <c r="C407" s="11"/>
    </row>
    <row r="408">
      <c r="B408" s="10"/>
      <c r="C408" s="11"/>
    </row>
    <row r="409">
      <c r="B409" s="10"/>
      <c r="C409" s="11"/>
    </row>
    <row r="410">
      <c r="B410" s="10"/>
      <c r="C410" s="11"/>
    </row>
    <row r="411">
      <c r="B411" s="10"/>
      <c r="C411" s="11"/>
    </row>
    <row r="412">
      <c r="B412" s="10"/>
      <c r="C412" s="11"/>
    </row>
    <row r="413">
      <c r="B413" s="10"/>
      <c r="C413" s="11"/>
    </row>
    <row r="414">
      <c r="B414" s="10"/>
      <c r="C414" s="11"/>
    </row>
    <row r="415">
      <c r="B415" s="10"/>
      <c r="C415" s="11"/>
    </row>
    <row r="416">
      <c r="B416" s="10"/>
      <c r="C416" s="11"/>
    </row>
    <row r="417">
      <c r="B417" s="10"/>
      <c r="C417" s="11"/>
    </row>
    <row r="418">
      <c r="B418" s="10"/>
      <c r="C418" s="11"/>
    </row>
    <row r="419">
      <c r="B419" s="10"/>
      <c r="C419" s="11"/>
    </row>
    <row r="420">
      <c r="B420" s="10"/>
      <c r="C420" s="11"/>
    </row>
    <row r="421">
      <c r="B421" s="10"/>
      <c r="C421" s="11"/>
    </row>
    <row r="422">
      <c r="B422" s="10"/>
      <c r="C422" s="11"/>
    </row>
    <row r="423">
      <c r="B423" s="10"/>
      <c r="C423" s="11"/>
    </row>
    <row r="424">
      <c r="B424" s="10"/>
      <c r="C424" s="11"/>
    </row>
    <row r="425">
      <c r="B425" s="10"/>
      <c r="C425" s="11"/>
    </row>
    <row r="426">
      <c r="B426" s="10"/>
      <c r="C426" s="11"/>
    </row>
    <row r="427">
      <c r="B427" s="10"/>
      <c r="C427" s="11"/>
    </row>
    <row r="428">
      <c r="B428" s="10"/>
      <c r="C428" s="11"/>
    </row>
    <row r="429">
      <c r="B429" s="10"/>
      <c r="C429" s="11"/>
    </row>
    <row r="430">
      <c r="B430" s="10"/>
      <c r="C430" s="11"/>
    </row>
    <row r="431">
      <c r="B431" s="10"/>
      <c r="C431" s="11"/>
    </row>
    <row r="432">
      <c r="B432" s="10"/>
      <c r="C432" s="11"/>
    </row>
    <row r="433">
      <c r="B433" s="10"/>
      <c r="C433" s="11"/>
    </row>
    <row r="434">
      <c r="B434" s="10"/>
      <c r="C434" s="11"/>
    </row>
    <row r="435">
      <c r="B435" s="10"/>
      <c r="C435" s="11"/>
    </row>
    <row r="436">
      <c r="B436" s="10"/>
      <c r="C436" s="11"/>
    </row>
    <row r="437">
      <c r="B437" s="10"/>
      <c r="C437" s="11"/>
    </row>
    <row r="438">
      <c r="B438" s="10"/>
      <c r="C438" s="11"/>
    </row>
    <row r="439">
      <c r="B439" s="10"/>
      <c r="C439" s="11"/>
    </row>
    <row r="440">
      <c r="B440" s="10"/>
      <c r="C440" s="11"/>
    </row>
    <row r="441">
      <c r="B441" s="10"/>
      <c r="C441" s="11"/>
    </row>
    <row r="442">
      <c r="B442" s="10"/>
      <c r="C442" s="11"/>
    </row>
    <row r="443">
      <c r="B443" s="10"/>
      <c r="C443" s="11"/>
    </row>
    <row r="444">
      <c r="B444" s="10"/>
      <c r="C444" s="11"/>
    </row>
    <row r="445">
      <c r="B445" s="10"/>
      <c r="C445" s="11"/>
    </row>
    <row r="446">
      <c r="B446" s="10"/>
      <c r="C446" s="11"/>
    </row>
    <row r="447">
      <c r="B447" s="10"/>
      <c r="C447" s="11"/>
    </row>
    <row r="448">
      <c r="B448" s="10"/>
      <c r="C448" s="11"/>
    </row>
    <row r="449">
      <c r="B449" s="10"/>
      <c r="C449" s="11"/>
    </row>
    <row r="450">
      <c r="B450" s="10"/>
      <c r="C450" s="11"/>
    </row>
    <row r="451">
      <c r="B451" s="10"/>
      <c r="C451" s="11"/>
    </row>
    <row r="452">
      <c r="B452" s="10"/>
      <c r="C452" s="11"/>
    </row>
    <row r="453">
      <c r="B453" s="10"/>
      <c r="C453" s="11"/>
    </row>
    <row r="454">
      <c r="B454" s="10"/>
      <c r="C454" s="11"/>
    </row>
    <row r="455">
      <c r="B455" s="10"/>
      <c r="C455" s="11"/>
    </row>
    <row r="456">
      <c r="B456" s="10"/>
      <c r="C456" s="11"/>
    </row>
    <row r="457">
      <c r="B457" s="10"/>
      <c r="C457" s="11"/>
    </row>
    <row r="458">
      <c r="B458" s="10"/>
      <c r="C458" s="11"/>
    </row>
    <row r="459">
      <c r="B459" s="10"/>
      <c r="C459" s="11"/>
    </row>
    <row r="460">
      <c r="B460" s="10"/>
      <c r="C460" s="11"/>
    </row>
    <row r="461">
      <c r="B461" s="10"/>
      <c r="C461" s="11"/>
    </row>
    <row r="462">
      <c r="B462" s="10"/>
      <c r="C462" s="11"/>
    </row>
    <row r="463">
      <c r="B463" s="10"/>
      <c r="C463" s="11"/>
    </row>
    <row r="464">
      <c r="B464" s="10"/>
      <c r="C464" s="11"/>
    </row>
    <row r="465">
      <c r="B465" s="10"/>
      <c r="C465" s="11"/>
    </row>
    <row r="466">
      <c r="B466" s="10"/>
      <c r="C466" s="11"/>
    </row>
    <row r="467">
      <c r="B467" s="10"/>
      <c r="C467" s="11"/>
    </row>
    <row r="468">
      <c r="B468" s="10"/>
      <c r="C468" s="11"/>
    </row>
    <row r="469">
      <c r="B469" s="10"/>
      <c r="C469" s="11"/>
    </row>
    <row r="470">
      <c r="B470" s="10"/>
      <c r="C470" s="11"/>
    </row>
    <row r="471">
      <c r="B471" s="10"/>
      <c r="C471" s="11"/>
    </row>
    <row r="472">
      <c r="B472" s="10"/>
      <c r="C472" s="11"/>
    </row>
    <row r="473">
      <c r="B473" s="10"/>
      <c r="C473" s="11"/>
    </row>
    <row r="474">
      <c r="B474" s="10"/>
      <c r="C474" s="11"/>
    </row>
    <row r="475">
      <c r="B475" s="10"/>
      <c r="C475" s="11"/>
    </row>
    <row r="476">
      <c r="B476" s="10"/>
      <c r="C476" s="11"/>
    </row>
    <row r="477">
      <c r="B477" s="10"/>
      <c r="C477" s="11"/>
    </row>
    <row r="478">
      <c r="B478" s="10"/>
      <c r="C478" s="11"/>
    </row>
    <row r="479">
      <c r="B479" s="10"/>
      <c r="C479" s="11"/>
    </row>
    <row r="480">
      <c r="B480" s="10"/>
      <c r="C480" s="11"/>
    </row>
    <row r="481">
      <c r="B481" s="10"/>
      <c r="C481" s="11"/>
    </row>
    <row r="482">
      <c r="B482" s="10"/>
      <c r="C482" s="11"/>
    </row>
    <row r="483">
      <c r="B483" s="10"/>
      <c r="C483" s="11"/>
    </row>
    <row r="484">
      <c r="B484" s="10"/>
      <c r="C484" s="11"/>
    </row>
    <row r="485">
      <c r="B485" s="10"/>
      <c r="C485" s="11"/>
    </row>
    <row r="486">
      <c r="B486" s="10"/>
      <c r="C486" s="11"/>
    </row>
    <row r="487">
      <c r="B487" s="10"/>
      <c r="C487" s="11"/>
    </row>
    <row r="488">
      <c r="B488" s="10"/>
      <c r="C488" s="11"/>
    </row>
    <row r="489">
      <c r="B489" s="10"/>
      <c r="C489" s="11"/>
    </row>
    <row r="490">
      <c r="B490" s="10"/>
      <c r="C490" s="11"/>
    </row>
    <row r="491">
      <c r="B491" s="10"/>
      <c r="C491" s="11"/>
    </row>
    <row r="492">
      <c r="B492" s="10"/>
      <c r="C492" s="11"/>
    </row>
    <row r="493">
      <c r="B493" s="10"/>
      <c r="C493" s="11"/>
    </row>
    <row r="494">
      <c r="B494" s="10"/>
      <c r="C494" s="11"/>
    </row>
    <row r="495">
      <c r="B495" s="10"/>
      <c r="C495" s="11"/>
    </row>
    <row r="496">
      <c r="B496" s="10"/>
      <c r="C496" s="11"/>
    </row>
    <row r="497">
      <c r="B497" s="10"/>
      <c r="C497" s="11"/>
    </row>
    <row r="498">
      <c r="B498" s="10"/>
      <c r="C498" s="11"/>
    </row>
    <row r="499">
      <c r="B499" s="10"/>
      <c r="C499" s="11"/>
    </row>
    <row r="500">
      <c r="B500" s="10"/>
      <c r="C500" s="11"/>
    </row>
    <row r="501">
      <c r="B501" s="10"/>
      <c r="C501" s="11"/>
    </row>
    <row r="502">
      <c r="B502" s="10"/>
      <c r="C502" s="11"/>
    </row>
    <row r="503">
      <c r="B503" s="10"/>
      <c r="C503" s="11"/>
    </row>
    <row r="504">
      <c r="B504" s="10"/>
      <c r="C504" s="11"/>
    </row>
    <row r="505">
      <c r="B505" s="10"/>
      <c r="C505" s="11"/>
    </row>
    <row r="506">
      <c r="B506" s="10"/>
      <c r="C506" s="11"/>
    </row>
    <row r="507">
      <c r="B507" s="10"/>
      <c r="C507" s="11"/>
    </row>
    <row r="508">
      <c r="B508" s="10"/>
      <c r="C508" s="11"/>
    </row>
    <row r="509">
      <c r="B509" s="10"/>
      <c r="C509" s="11"/>
    </row>
    <row r="510">
      <c r="B510" s="10"/>
      <c r="C510" s="11"/>
    </row>
    <row r="511">
      <c r="B511" s="10"/>
      <c r="C511" s="11"/>
    </row>
    <row r="512">
      <c r="B512" s="10"/>
      <c r="C512" s="11"/>
    </row>
    <row r="513">
      <c r="B513" s="10"/>
      <c r="C513" s="11"/>
    </row>
    <row r="514">
      <c r="B514" s="10"/>
      <c r="C514" s="11"/>
    </row>
    <row r="515">
      <c r="B515" s="10"/>
      <c r="C515" s="11"/>
    </row>
    <row r="516">
      <c r="B516" s="10"/>
      <c r="C516" s="11"/>
    </row>
    <row r="517">
      <c r="B517" s="10"/>
      <c r="C517" s="11"/>
    </row>
    <row r="518">
      <c r="B518" s="10"/>
      <c r="C518" s="11"/>
    </row>
    <row r="519">
      <c r="B519" s="10"/>
      <c r="C519" s="11"/>
    </row>
    <row r="520">
      <c r="B520" s="10"/>
      <c r="C520" s="11"/>
    </row>
    <row r="521">
      <c r="B521" s="10"/>
      <c r="C521" s="11"/>
    </row>
    <row r="522">
      <c r="B522" s="10"/>
      <c r="C522" s="11"/>
    </row>
    <row r="523">
      <c r="B523" s="10"/>
      <c r="C523" s="11"/>
    </row>
    <row r="524">
      <c r="B524" s="10"/>
      <c r="C524" s="11"/>
    </row>
    <row r="525">
      <c r="B525" s="10"/>
      <c r="C525" s="11"/>
    </row>
    <row r="526">
      <c r="B526" s="10"/>
      <c r="C526" s="11"/>
    </row>
    <row r="527">
      <c r="B527" s="10"/>
      <c r="C527" s="11"/>
    </row>
    <row r="528">
      <c r="B528" s="10"/>
      <c r="C528" s="11"/>
    </row>
    <row r="529">
      <c r="B529" s="10"/>
      <c r="C529" s="11"/>
    </row>
    <row r="530">
      <c r="B530" s="10"/>
      <c r="C530" s="11"/>
    </row>
    <row r="531">
      <c r="B531" s="10"/>
      <c r="C531" s="11"/>
    </row>
    <row r="532">
      <c r="B532" s="10"/>
      <c r="C532" s="11"/>
    </row>
    <row r="533">
      <c r="B533" s="10"/>
      <c r="C533" s="11"/>
    </row>
    <row r="534">
      <c r="B534" s="10"/>
      <c r="C534" s="11"/>
    </row>
    <row r="535">
      <c r="B535" s="10"/>
      <c r="C535" s="11"/>
    </row>
    <row r="536">
      <c r="B536" s="10"/>
      <c r="C536" s="11"/>
    </row>
    <row r="537">
      <c r="B537" s="10"/>
      <c r="C537" s="11"/>
    </row>
    <row r="538">
      <c r="B538" s="10"/>
      <c r="C538" s="11"/>
    </row>
    <row r="539">
      <c r="B539" s="10"/>
      <c r="C539" s="11"/>
    </row>
    <row r="540">
      <c r="B540" s="10"/>
      <c r="C540" s="11"/>
    </row>
    <row r="541">
      <c r="B541" s="10"/>
      <c r="C541" s="11"/>
    </row>
    <row r="542">
      <c r="B542" s="10"/>
      <c r="C542" s="11"/>
    </row>
    <row r="543">
      <c r="B543" s="10"/>
      <c r="C543" s="11"/>
    </row>
    <row r="544">
      <c r="B544" s="10"/>
      <c r="C544" s="11"/>
    </row>
    <row r="545">
      <c r="B545" s="10"/>
      <c r="C545" s="11"/>
    </row>
    <row r="546">
      <c r="B546" s="10"/>
      <c r="C546" s="11"/>
    </row>
    <row r="547">
      <c r="B547" s="10"/>
      <c r="C547" s="11"/>
    </row>
    <row r="548">
      <c r="B548" s="10"/>
      <c r="C548" s="11"/>
    </row>
    <row r="549">
      <c r="B549" s="10"/>
      <c r="C549" s="11"/>
    </row>
    <row r="550">
      <c r="B550" s="10"/>
      <c r="C550" s="11"/>
    </row>
    <row r="551">
      <c r="B551" s="10"/>
      <c r="C551" s="11"/>
    </row>
    <row r="552">
      <c r="B552" s="10"/>
      <c r="C552" s="11"/>
    </row>
    <row r="553">
      <c r="B553" s="10"/>
      <c r="C553" s="11"/>
    </row>
    <row r="554">
      <c r="B554" s="10"/>
      <c r="C554" s="11"/>
    </row>
    <row r="555">
      <c r="B555" s="10"/>
      <c r="C555" s="11"/>
    </row>
    <row r="556">
      <c r="B556" s="10"/>
      <c r="C556" s="11"/>
    </row>
    <row r="557">
      <c r="B557" s="10"/>
      <c r="C557" s="11"/>
    </row>
    <row r="558">
      <c r="B558" s="10"/>
      <c r="C558" s="11"/>
    </row>
    <row r="559">
      <c r="B559" s="10"/>
      <c r="C559" s="11"/>
    </row>
    <row r="560">
      <c r="B560" s="10"/>
      <c r="C560" s="11"/>
    </row>
    <row r="561">
      <c r="B561" s="10"/>
      <c r="C561" s="11"/>
    </row>
    <row r="562">
      <c r="B562" s="10"/>
      <c r="C562" s="11"/>
    </row>
    <row r="563">
      <c r="B563" s="10"/>
      <c r="C563" s="11"/>
    </row>
    <row r="564">
      <c r="B564" s="10"/>
      <c r="C564" s="11"/>
    </row>
    <row r="565">
      <c r="B565" s="10"/>
      <c r="C565" s="11"/>
    </row>
    <row r="566">
      <c r="B566" s="10"/>
      <c r="C566" s="11"/>
    </row>
    <row r="567">
      <c r="B567" s="10"/>
      <c r="C567" s="11"/>
    </row>
    <row r="568">
      <c r="B568" s="10"/>
      <c r="C568" s="11"/>
    </row>
    <row r="569">
      <c r="B569" s="10"/>
      <c r="C569" s="11"/>
    </row>
    <row r="570">
      <c r="B570" s="10"/>
      <c r="C570" s="11"/>
    </row>
    <row r="571">
      <c r="B571" s="10"/>
      <c r="C571" s="11"/>
    </row>
    <row r="572">
      <c r="B572" s="10"/>
      <c r="C572" s="11"/>
    </row>
    <row r="573">
      <c r="B573" s="10"/>
      <c r="C573" s="11"/>
    </row>
    <row r="574">
      <c r="B574" s="10"/>
      <c r="C574" s="11"/>
    </row>
    <row r="575">
      <c r="B575" s="10"/>
      <c r="C575" s="11"/>
    </row>
    <row r="576">
      <c r="B576" s="10"/>
      <c r="C576" s="11"/>
    </row>
    <row r="577">
      <c r="B577" s="10"/>
      <c r="C577" s="11"/>
    </row>
    <row r="578">
      <c r="B578" s="10"/>
      <c r="C578" s="11"/>
    </row>
    <row r="579">
      <c r="B579" s="10"/>
      <c r="C579" s="11"/>
    </row>
    <row r="580">
      <c r="B580" s="10"/>
      <c r="C580" s="11"/>
    </row>
    <row r="581">
      <c r="B581" s="10"/>
      <c r="C581" s="11"/>
    </row>
    <row r="582">
      <c r="B582" s="10"/>
      <c r="C582" s="11"/>
    </row>
    <row r="583">
      <c r="B583" s="10"/>
      <c r="C583" s="11"/>
    </row>
    <row r="584">
      <c r="B584" s="10"/>
      <c r="C584" s="11"/>
    </row>
    <row r="585">
      <c r="B585" s="10"/>
      <c r="C585" s="11"/>
    </row>
    <row r="586">
      <c r="B586" s="10"/>
      <c r="C586" s="11"/>
    </row>
    <row r="587">
      <c r="B587" s="10"/>
      <c r="C587" s="11"/>
    </row>
    <row r="588">
      <c r="B588" s="10"/>
      <c r="C588" s="11"/>
    </row>
    <row r="589">
      <c r="B589" s="10"/>
      <c r="C589" s="11"/>
    </row>
    <row r="590">
      <c r="B590" s="10"/>
      <c r="C590" s="11"/>
    </row>
    <row r="591">
      <c r="B591" s="10"/>
      <c r="C591" s="11"/>
    </row>
    <row r="592">
      <c r="B592" s="10"/>
      <c r="C592" s="11"/>
    </row>
    <row r="593">
      <c r="B593" s="10"/>
      <c r="C593" s="11"/>
    </row>
    <row r="594">
      <c r="B594" s="10"/>
      <c r="C594" s="11"/>
    </row>
    <row r="595">
      <c r="B595" s="10"/>
      <c r="C595" s="11"/>
    </row>
    <row r="596">
      <c r="B596" s="10"/>
      <c r="C596" s="11"/>
    </row>
    <row r="597">
      <c r="B597" s="10"/>
      <c r="C597" s="11"/>
    </row>
    <row r="598">
      <c r="B598" s="10"/>
      <c r="C598" s="11"/>
    </row>
    <row r="599">
      <c r="B599" s="10"/>
      <c r="C599" s="11"/>
    </row>
    <row r="600">
      <c r="B600" s="10"/>
      <c r="C600" s="11"/>
    </row>
    <row r="601">
      <c r="B601" s="10"/>
      <c r="C601" s="11"/>
    </row>
    <row r="602">
      <c r="B602" s="10"/>
      <c r="C602" s="11"/>
    </row>
    <row r="603">
      <c r="B603" s="10"/>
      <c r="C603" s="11"/>
    </row>
    <row r="604">
      <c r="B604" s="10"/>
      <c r="C604" s="11"/>
    </row>
    <row r="605">
      <c r="B605" s="10"/>
      <c r="C605" s="11"/>
    </row>
    <row r="606">
      <c r="B606" s="10"/>
      <c r="C606" s="11"/>
    </row>
    <row r="607">
      <c r="B607" s="10"/>
      <c r="C607" s="11"/>
    </row>
    <row r="608">
      <c r="B608" s="10"/>
      <c r="C608" s="11"/>
    </row>
    <row r="609">
      <c r="B609" s="10"/>
      <c r="C609" s="11"/>
    </row>
    <row r="610">
      <c r="B610" s="10"/>
      <c r="C610" s="11"/>
    </row>
    <row r="611">
      <c r="B611" s="10"/>
      <c r="C611" s="11"/>
    </row>
    <row r="612">
      <c r="B612" s="10"/>
      <c r="C612" s="11"/>
    </row>
    <row r="613">
      <c r="B613" s="10"/>
      <c r="C613" s="11"/>
    </row>
    <row r="614">
      <c r="B614" s="10"/>
      <c r="C614" s="11"/>
    </row>
    <row r="615">
      <c r="B615" s="10"/>
      <c r="C615" s="11"/>
    </row>
    <row r="616">
      <c r="B616" s="10"/>
      <c r="C616" s="11"/>
    </row>
    <row r="617">
      <c r="B617" s="10"/>
      <c r="C617" s="11"/>
    </row>
    <row r="618">
      <c r="B618" s="10"/>
      <c r="C618" s="11"/>
    </row>
    <row r="619">
      <c r="B619" s="10"/>
      <c r="C619" s="11"/>
    </row>
    <row r="620">
      <c r="B620" s="10"/>
      <c r="C620" s="11"/>
    </row>
    <row r="621">
      <c r="B621" s="10"/>
      <c r="C621" s="11"/>
    </row>
    <row r="622">
      <c r="B622" s="10"/>
      <c r="C622" s="11"/>
    </row>
    <row r="623">
      <c r="B623" s="10"/>
      <c r="C623" s="11"/>
    </row>
    <row r="624">
      <c r="B624" s="10"/>
      <c r="C624" s="11"/>
    </row>
    <row r="625">
      <c r="B625" s="10"/>
      <c r="C625" s="11"/>
    </row>
    <row r="626">
      <c r="B626" s="10"/>
      <c r="C626" s="11"/>
    </row>
    <row r="627">
      <c r="B627" s="10"/>
      <c r="C627" s="11"/>
    </row>
    <row r="628">
      <c r="B628" s="10"/>
      <c r="C628" s="11"/>
    </row>
    <row r="629">
      <c r="B629" s="10"/>
      <c r="C629" s="11"/>
    </row>
    <row r="630">
      <c r="B630" s="10"/>
      <c r="C630" s="11"/>
    </row>
    <row r="631">
      <c r="B631" s="10"/>
      <c r="C631" s="11"/>
    </row>
    <row r="632">
      <c r="B632" s="10"/>
      <c r="C632" s="11"/>
    </row>
    <row r="633">
      <c r="B633" s="10"/>
      <c r="C633" s="11"/>
    </row>
    <row r="634">
      <c r="B634" s="10"/>
      <c r="C634" s="11"/>
    </row>
    <row r="635">
      <c r="B635" s="10"/>
      <c r="C635" s="11"/>
    </row>
    <row r="636">
      <c r="B636" s="10"/>
      <c r="C636" s="11"/>
    </row>
    <row r="637">
      <c r="B637" s="10"/>
      <c r="C637" s="11"/>
    </row>
    <row r="638">
      <c r="B638" s="10"/>
      <c r="C638" s="11"/>
    </row>
    <row r="639">
      <c r="B639" s="10"/>
      <c r="C639" s="11"/>
    </row>
    <row r="640">
      <c r="B640" s="10"/>
      <c r="C640" s="11"/>
    </row>
    <row r="641">
      <c r="B641" s="10"/>
      <c r="C641" s="11"/>
    </row>
    <row r="642">
      <c r="B642" s="10"/>
      <c r="C642" s="11"/>
    </row>
    <row r="643">
      <c r="B643" s="10"/>
      <c r="C643" s="11"/>
    </row>
    <row r="644">
      <c r="B644" s="10"/>
      <c r="C644" s="11"/>
    </row>
    <row r="645">
      <c r="B645" s="10"/>
      <c r="C645" s="11"/>
    </row>
    <row r="646">
      <c r="B646" s="10"/>
      <c r="C646" s="11"/>
    </row>
    <row r="647">
      <c r="B647" s="10"/>
      <c r="C647" s="11"/>
    </row>
    <row r="648">
      <c r="B648" s="10"/>
      <c r="C648" s="11"/>
    </row>
    <row r="649">
      <c r="B649" s="10"/>
      <c r="C649" s="11"/>
    </row>
    <row r="650">
      <c r="B650" s="10"/>
      <c r="C650" s="11"/>
    </row>
    <row r="651">
      <c r="B651" s="10"/>
      <c r="C651" s="11"/>
    </row>
    <row r="652">
      <c r="B652" s="10"/>
      <c r="C652" s="11"/>
    </row>
    <row r="653">
      <c r="B653" s="10"/>
      <c r="C653" s="11"/>
    </row>
    <row r="654">
      <c r="B654" s="10"/>
      <c r="C654" s="11"/>
    </row>
    <row r="655">
      <c r="B655" s="10"/>
      <c r="C655" s="11"/>
    </row>
    <row r="656">
      <c r="B656" s="10"/>
      <c r="C656" s="11"/>
    </row>
    <row r="657">
      <c r="B657" s="10"/>
      <c r="C657" s="11"/>
    </row>
    <row r="658">
      <c r="B658" s="10"/>
      <c r="C658" s="11"/>
    </row>
    <row r="659">
      <c r="B659" s="10"/>
      <c r="C659" s="11"/>
    </row>
    <row r="660">
      <c r="B660" s="10"/>
      <c r="C660" s="11"/>
    </row>
    <row r="661">
      <c r="B661" s="10"/>
      <c r="C661" s="11"/>
    </row>
    <row r="662">
      <c r="B662" s="10"/>
      <c r="C662" s="11"/>
    </row>
    <row r="663">
      <c r="B663" s="10"/>
      <c r="C663" s="11"/>
    </row>
    <row r="664">
      <c r="B664" s="10"/>
      <c r="C664" s="11"/>
    </row>
    <row r="665">
      <c r="B665" s="10"/>
      <c r="C665" s="11"/>
    </row>
    <row r="666">
      <c r="B666" s="10"/>
      <c r="C666" s="11"/>
    </row>
    <row r="667">
      <c r="B667" s="10"/>
      <c r="C667" s="11"/>
    </row>
    <row r="668">
      <c r="B668" s="10"/>
      <c r="C668" s="11"/>
    </row>
    <row r="669">
      <c r="B669" s="10"/>
      <c r="C669" s="11"/>
    </row>
    <row r="670">
      <c r="B670" s="10"/>
      <c r="C670" s="11"/>
    </row>
    <row r="671">
      <c r="B671" s="10"/>
      <c r="C671" s="11"/>
    </row>
    <row r="672">
      <c r="B672" s="10"/>
      <c r="C672" s="11"/>
    </row>
    <row r="673">
      <c r="B673" s="10"/>
      <c r="C673" s="11"/>
    </row>
    <row r="674">
      <c r="B674" s="10"/>
      <c r="C674" s="11"/>
    </row>
    <row r="675">
      <c r="B675" s="10"/>
      <c r="C675" s="11"/>
    </row>
    <row r="676">
      <c r="B676" s="10"/>
      <c r="C676" s="11"/>
    </row>
    <row r="677">
      <c r="B677" s="10"/>
      <c r="C677" s="11"/>
    </row>
    <row r="678">
      <c r="B678" s="10"/>
      <c r="C678" s="11"/>
    </row>
    <row r="679">
      <c r="B679" s="10"/>
      <c r="C679" s="11"/>
    </row>
    <row r="680">
      <c r="B680" s="10"/>
      <c r="C680" s="11"/>
    </row>
    <row r="681">
      <c r="B681" s="10"/>
      <c r="C681" s="11"/>
    </row>
    <row r="682">
      <c r="B682" s="10"/>
      <c r="C682" s="11"/>
    </row>
    <row r="683">
      <c r="B683" s="10"/>
      <c r="C683" s="11"/>
    </row>
    <row r="684">
      <c r="B684" s="10"/>
      <c r="C684" s="11"/>
    </row>
    <row r="685">
      <c r="B685" s="10"/>
      <c r="C685" s="11"/>
    </row>
    <row r="686">
      <c r="B686" s="10"/>
      <c r="C686" s="11"/>
    </row>
    <row r="687">
      <c r="B687" s="10"/>
      <c r="C687" s="11"/>
    </row>
    <row r="688">
      <c r="B688" s="10"/>
      <c r="C688" s="11"/>
    </row>
    <row r="689">
      <c r="B689" s="10"/>
      <c r="C689" s="11"/>
    </row>
    <row r="690">
      <c r="B690" s="10"/>
      <c r="C690" s="11"/>
    </row>
    <row r="691">
      <c r="B691" s="10"/>
      <c r="C691" s="11"/>
    </row>
    <row r="692">
      <c r="B692" s="10"/>
      <c r="C692" s="11"/>
    </row>
    <row r="693">
      <c r="B693" s="10"/>
      <c r="C693" s="11"/>
    </row>
    <row r="694">
      <c r="B694" s="10"/>
      <c r="C694" s="11"/>
    </row>
    <row r="695">
      <c r="B695" s="10"/>
      <c r="C695" s="11"/>
    </row>
    <row r="696">
      <c r="B696" s="10"/>
      <c r="C696" s="11"/>
    </row>
    <row r="697">
      <c r="B697" s="10"/>
      <c r="C697" s="11"/>
    </row>
    <row r="698">
      <c r="B698" s="10"/>
      <c r="C698" s="11"/>
    </row>
    <row r="699">
      <c r="B699" s="10"/>
      <c r="C699" s="11"/>
    </row>
    <row r="700">
      <c r="B700" s="10"/>
      <c r="C700" s="11"/>
    </row>
    <row r="701">
      <c r="B701" s="10"/>
      <c r="C701" s="11"/>
    </row>
    <row r="702">
      <c r="B702" s="10"/>
      <c r="C702" s="11"/>
    </row>
    <row r="703">
      <c r="B703" s="10"/>
      <c r="C703" s="11"/>
    </row>
    <row r="704">
      <c r="B704" s="10"/>
      <c r="C704" s="11"/>
    </row>
    <row r="705">
      <c r="B705" s="10"/>
      <c r="C705" s="11"/>
    </row>
    <row r="706">
      <c r="B706" s="10"/>
      <c r="C706" s="11"/>
    </row>
    <row r="707">
      <c r="B707" s="10"/>
      <c r="C707" s="11"/>
    </row>
    <row r="708">
      <c r="B708" s="10"/>
      <c r="C708" s="11"/>
    </row>
    <row r="709">
      <c r="B709" s="10"/>
      <c r="C709" s="11"/>
    </row>
    <row r="710">
      <c r="B710" s="10"/>
      <c r="C710" s="11"/>
    </row>
    <row r="711">
      <c r="B711" s="10"/>
      <c r="C711" s="11"/>
    </row>
    <row r="712">
      <c r="B712" s="10"/>
      <c r="C712" s="11"/>
    </row>
    <row r="713">
      <c r="B713" s="10"/>
      <c r="C713" s="11"/>
    </row>
    <row r="714">
      <c r="B714" s="10"/>
      <c r="C714" s="11"/>
    </row>
    <row r="715">
      <c r="B715" s="10"/>
      <c r="C715" s="11"/>
    </row>
    <row r="716">
      <c r="B716" s="10"/>
      <c r="C716" s="11"/>
    </row>
    <row r="717">
      <c r="B717" s="10"/>
      <c r="C717" s="11"/>
    </row>
    <row r="718">
      <c r="B718" s="10"/>
      <c r="C718" s="11"/>
    </row>
    <row r="719">
      <c r="B719" s="10"/>
      <c r="C719" s="11"/>
    </row>
    <row r="720">
      <c r="B720" s="10"/>
      <c r="C720" s="11"/>
    </row>
    <row r="721">
      <c r="B721" s="10"/>
      <c r="C721" s="11"/>
    </row>
    <row r="722">
      <c r="B722" s="10"/>
      <c r="C722" s="11"/>
    </row>
    <row r="723">
      <c r="B723" s="10"/>
      <c r="C723" s="11"/>
    </row>
    <row r="724">
      <c r="B724" s="10"/>
      <c r="C724" s="11"/>
    </row>
    <row r="725">
      <c r="B725" s="10"/>
      <c r="C725" s="11"/>
    </row>
    <row r="726">
      <c r="B726" s="10"/>
      <c r="C726" s="11"/>
    </row>
    <row r="727">
      <c r="B727" s="10"/>
      <c r="C727" s="11"/>
    </row>
    <row r="728">
      <c r="B728" s="10"/>
      <c r="C728" s="11"/>
    </row>
    <row r="729">
      <c r="B729" s="10"/>
      <c r="C729" s="11"/>
    </row>
    <row r="730">
      <c r="B730" s="10"/>
      <c r="C730" s="11"/>
    </row>
    <row r="731">
      <c r="B731" s="10"/>
      <c r="C731" s="11"/>
    </row>
    <row r="732">
      <c r="B732" s="10"/>
      <c r="C732" s="11"/>
    </row>
    <row r="733">
      <c r="B733" s="10"/>
      <c r="C733" s="11"/>
    </row>
    <row r="734">
      <c r="B734" s="10"/>
      <c r="C734" s="11"/>
    </row>
    <row r="735">
      <c r="B735" s="10"/>
      <c r="C735" s="11"/>
    </row>
    <row r="736">
      <c r="B736" s="10"/>
      <c r="C736" s="11"/>
    </row>
    <row r="737">
      <c r="B737" s="10"/>
      <c r="C737" s="11"/>
    </row>
    <row r="738">
      <c r="B738" s="10"/>
      <c r="C738" s="11"/>
    </row>
    <row r="739">
      <c r="B739" s="10"/>
      <c r="C739" s="11"/>
    </row>
    <row r="740">
      <c r="B740" s="10"/>
      <c r="C740" s="11"/>
    </row>
    <row r="741">
      <c r="B741" s="10"/>
      <c r="C741" s="11"/>
    </row>
    <row r="742">
      <c r="B742" s="10"/>
      <c r="C742" s="11"/>
    </row>
    <row r="743">
      <c r="B743" s="10"/>
      <c r="C743" s="11"/>
    </row>
    <row r="744">
      <c r="B744" s="10"/>
      <c r="C744" s="11"/>
    </row>
    <row r="745">
      <c r="B745" s="10"/>
      <c r="C745" s="11"/>
    </row>
    <row r="746">
      <c r="B746" s="10"/>
      <c r="C746" s="11"/>
    </row>
    <row r="747">
      <c r="B747" s="10"/>
      <c r="C747" s="11"/>
    </row>
    <row r="748">
      <c r="B748" s="10"/>
      <c r="C748" s="11"/>
    </row>
    <row r="749">
      <c r="B749" s="10"/>
      <c r="C749" s="11"/>
    </row>
    <row r="750">
      <c r="B750" s="10"/>
      <c r="C750" s="11"/>
    </row>
    <row r="751">
      <c r="B751" s="10"/>
      <c r="C751" s="11"/>
    </row>
    <row r="752">
      <c r="B752" s="10"/>
      <c r="C752" s="11"/>
    </row>
    <row r="753">
      <c r="B753" s="10"/>
      <c r="C753" s="11"/>
    </row>
    <row r="754">
      <c r="B754" s="10"/>
      <c r="C754" s="11"/>
    </row>
    <row r="755">
      <c r="B755" s="10"/>
      <c r="C755" s="11"/>
    </row>
    <row r="756">
      <c r="B756" s="10"/>
      <c r="C756" s="11"/>
    </row>
    <row r="757">
      <c r="B757" s="10"/>
      <c r="C757" s="11"/>
    </row>
    <row r="758">
      <c r="B758" s="10"/>
      <c r="C758" s="11"/>
    </row>
    <row r="759">
      <c r="B759" s="10"/>
      <c r="C759" s="11"/>
    </row>
    <row r="760">
      <c r="B760" s="10"/>
      <c r="C760" s="11"/>
    </row>
    <row r="761">
      <c r="B761" s="10"/>
      <c r="C761" s="11"/>
    </row>
    <row r="762">
      <c r="B762" s="10"/>
      <c r="C762" s="11"/>
    </row>
    <row r="763">
      <c r="B763" s="10"/>
      <c r="C763" s="11"/>
    </row>
    <row r="764">
      <c r="B764" s="10"/>
      <c r="C764" s="11"/>
    </row>
    <row r="765">
      <c r="B765" s="10"/>
      <c r="C765" s="11"/>
    </row>
    <row r="766">
      <c r="B766" s="10"/>
      <c r="C766" s="11"/>
    </row>
    <row r="767">
      <c r="B767" s="10"/>
      <c r="C767" s="11"/>
    </row>
    <row r="768">
      <c r="B768" s="10"/>
      <c r="C768" s="11"/>
    </row>
    <row r="769">
      <c r="B769" s="10"/>
      <c r="C769" s="11"/>
    </row>
    <row r="770">
      <c r="B770" s="10"/>
      <c r="C770" s="11"/>
    </row>
    <row r="771">
      <c r="B771" s="10"/>
      <c r="C771" s="11"/>
    </row>
    <row r="772">
      <c r="B772" s="10"/>
      <c r="C772" s="11"/>
    </row>
    <row r="773">
      <c r="B773" s="10"/>
      <c r="C773" s="11"/>
    </row>
    <row r="774">
      <c r="B774" s="10"/>
      <c r="C774" s="11"/>
    </row>
    <row r="775">
      <c r="B775" s="10"/>
      <c r="C775" s="11"/>
    </row>
    <row r="776">
      <c r="B776" s="10"/>
      <c r="C776" s="11"/>
    </row>
    <row r="777">
      <c r="B777" s="10"/>
      <c r="C777" s="11"/>
    </row>
    <row r="778">
      <c r="B778" s="10"/>
      <c r="C778" s="11"/>
    </row>
    <row r="779">
      <c r="B779" s="10"/>
      <c r="C779" s="11"/>
    </row>
    <row r="780">
      <c r="B780" s="10"/>
      <c r="C780" s="11"/>
    </row>
    <row r="781">
      <c r="B781" s="10"/>
      <c r="C781" s="11"/>
    </row>
    <row r="782">
      <c r="B782" s="10"/>
      <c r="C782" s="11"/>
    </row>
    <row r="783">
      <c r="B783" s="10"/>
      <c r="C783" s="11"/>
    </row>
    <row r="784">
      <c r="B784" s="10"/>
      <c r="C784" s="11"/>
    </row>
    <row r="785">
      <c r="B785" s="10"/>
      <c r="C785" s="11"/>
    </row>
    <row r="786">
      <c r="B786" s="10"/>
      <c r="C786" s="11"/>
    </row>
    <row r="787">
      <c r="B787" s="10"/>
      <c r="C787" s="11"/>
    </row>
    <row r="788">
      <c r="B788" s="10"/>
      <c r="C788" s="11"/>
    </row>
    <row r="789">
      <c r="B789" s="10"/>
      <c r="C789" s="11"/>
    </row>
    <row r="790">
      <c r="B790" s="10"/>
      <c r="C790" s="11"/>
    </row>
    <row r="791">
      <c r="B791" s="10"/>
      <c r="C791" s="11"/>
    </row>
    <row r="792">
      <c r="B792" s="10"/>
      <c r="C792" s="11"/>
    </row>
    <row r="793">
      <c r="B793" s="10"/>
      <c r="C793" s="11"/>
    </row>
    <row r="794">
      <c r="B794" s="10"/>
      <c r="C794" s="11"/>
    </row>
    <row r="795">
      <c r="B795" s="10"/>
      <c r="C795" s="11"/>
    </row>
    <row r="796">
      <c r="B796" s="10"/>
      <c r="C796" s="11"/>
    </row>
    <row r="797">
      <c r="B797" s="10"/>
      <c r="C797" s="11"/>
    </row>
    <row r="798">
      <c r="B798" s="10"/>
      <c r="C798" s="11"/>
    </row>
    <row r="799">
      <c r="B799" s="10"/>
      <c r="C799" s="11"/>
    </row>
    <row r="800">
      <c r="B800" s="10"/>
      <c r="C800" s="11"/>
    </row>
    <row r="801">
      <c r="B801" s="10"/>
      <c r="C801" s="11"/>
    </row>
    <row r="802">
      <c r="B802" s="10"/>
      <c r="C802" s="11"/>
    </row>
    <row r="803">
      <c r="B803" s="10"/>
      <c r="C803" s="11"/>
    </row>
    <row r="804">
      <c r="B804" s="10"/>
      <c r="C804" s="11"/>
    </row>
    <row r="805">
      <c r="B805" s="10"/>
      <c r="C805" s="11"/>
    </row>
    <row r="806">
      <c r="B806" s="10"/>
      <c r="C806" s="11"/>
    </row>
    <row r="807">
      <c r="B807" s="10"/>
      <c r="C807" s="11"/>
    </row>
    <row r="808">
      <c r="B808" s="10"/>
      <c r="C808" s="11"/>
    </row>
    <row r="809">
      <c r="B809" s="10"/>
      <c r="C809" s="11"/>
    </row>
    <row r="810">
      <c r="B810" s="10"/>
      <c r="C810" s="11"/>
    </row>
    <row r="811">
      <c r="B811" s="10"/>
      <c r="C811" s="11"/>
    </row>
    <row r="812">
      <c r="B812" s="10"/>
      <c r="C812" s="11"/>
    </row>
    <row r="813">
      <c r="B813" s="10"/>
      <c r="C813" s="11"/>
    </row>
    <row r="814">
      <c r="B814" s="10"/>
      <c r="C814" s="11"/>
    </row>
    <row r="815">
      <c r="B815" s="10"/>
      <c r="C815" s="11"/>
    </row>
    <row r="816">
      <c r="B816" s="10"/>
      <c r="C816" s="11"/>
    </row>
    <row r="817">
      <c r="B817" s="10"/>
      <c r="C817" s="11"/>
    </row>
    <row r="818">
      <c r="B818" s="10"/>
      <c r="C818" s="11"/>
    </row>
    <row r="819">
      <c r="B819" s="10"/>
      <c r="C819" s="11"/>
    </row>
    <row r="820">
      <c r="B820" s="10"/>
      <c r="C820" s="11"/>
    </row>
    <row r="821">
      <c r="B821" s="10"/>
      <c r="C821" s="11"/>
    </row>
    <row r="822">
      <c r="B822" s="10"/>
      <c r="C822" s="11"/>
    </row>
    <row r="823">
      <c r="B823" s="10"/>
      <c r="C823" s="11"/>
    </row>
    <row r="824">
      <c r="B824" s="10"/>
      <c r="C824" s="11"/>
    </row>
    <row r="825">
      <c r="B825" s="10"/>
      <c r="C825" s="11"/>
    </row>
    <row r="826">
      <c r="B826" s="10"/>
      <c r="C826" s="11"/>
    </row>
    <row r="827">
      <c r="B827" s="10"/>
      <c r="C827" s="11"/>
    </row>
    <row r="828">
      <c r="B828" s="10"/>
      <c r="C828" s="11"/>
    </row>
    <row r="829">
      <c r="B829" s="10"/>
      <c r="C829" s="11"/>
    </row>
    <row r="830">
      <c r="B830" s="10"/>
      <c r="C830" s="11"/>
    </row>
    <row r="831">
      <c r="B831" s="10"/>
      <c r="C831" s="11"/>
    </row>
    <row r="832">
      <c r="B832" s="10"/>
      <c r="C832" s="11"/>
    </row>
    <row r="833">
      <c r="B833" s="10"/>
      <c r="C833" s="11"/>
    </row>
    <row r="834">
      <c r="B834" s="10"/>
      <c r="C834" s="11"/>
    </row>
    <row r="835">
      <c r="B835" s="10"/>
      <c r="C835" s="11"/>
    </row>
    <row r="836">
      <c r="B836" s="10"/>
      <c r="C836" s="11"/>
    </row>
    <row r="837">
      <c r="B837" s="10"/>
      <c r="C837" s="11"/>
    </row>
    <row r="838">
      <c r="B838" s="10"/>
      <c r="C838" s="11"/>
    </row>
    <row r="839">
      <c r="B839" s="10"/>
      <c r="C839" s="11"/>
    </row>
    <row r="840">
      <c r="B840" s="10"/>
      <c r="C840" s="11"/>
    </row>
    <row r="841">
      <c r="B841" s="10"/>
      <c r="C841" s="11"/>
    </row>
    <row r="842">
      <c r="B842" s="10"/>
      <c r="C842" s="11"/>
    </row>
    <row r="843">
      <c r="B843" s="10"/>
      <c r="C843" s="11"/>
    </row>
    <row r="844">
      <c r="B844" s="10"/>
      <c r="C844" s="11"/>
    </row>
    <row r="845">
      <c r="B845" s="10"/>
      <c r="C845" s="11"/>
    </row>
    <row r="846">
      <c r="B846" s="10"/>
      <c r="C846" s="11"/>
    </row>
    <row r="847">
      <c r="B847" s="10"/>
      <c r="C847" s="11"/>
    </row>
    <row r="848">
      <c r="B848" s="10"/>
      <c r="C848" s="11"/>
    </row>
    <row r="849">
      <c r="B849" s="10"/>
      <c r="C849" s="11"/>
    </row>
    <row r="850">
      <c r="B850" s="10"/>
      <c r="C850" s="11"/>
    </row>
    <row r="851">
      <c r="B851" s="10"/>
      <c r="C851" s="11"/>
    </row>
    <row r="852">
      <c r="B852" s="10"/>
      <c r="C852" s="11"/>
    </row>
    <row r="853">
      <c r="B853" s="10"/>
      <c r="C853" s="11"/>
    </row>
    <row r="854">
      <c r="B854" s="10"/>
      <c r="C854" s="11"/>
    </row>
    <row r="855">
      <c r="B855" s="10"/>
      <c r="C855" s="11"/>
    </row>
    <row r="856">
      <c r="B856" s="10"/>
      <c r="C856" s="11"/>
    </row>
    <row r="857">
      <c r="B857" s="10"/>
      <c r="C857" s="11"/>
    </row>
    <row r="858">
      <c r="B858" s="10"/>
      <c r="C858" s="11"/>
    </row>
    <row r="859">
      <c r="B859" s="10"/>
      <c r="C859" s="11"/>
    </row>
    <row r="860">
      <c r="B860" s="10"/>
      <c r="C860" s="11"/>
    </row>
    <row r="861">
      <c r="B861" s="10"/>
      <c r="C861" s="11"/>
    </row>
    <row r="862">
      <c r="B862" s="10"/>
      <c r="C862" s="11"/>
    </row>
    <row r="863">
      <c r="B863" s="10"/>
      <c r="C863" s="11"/>
    </row>
    <row r="864">
      <c r="B864" s="10"/>
      <c r="C864" s="11"/>
    </row>
    <row r="865">
      <c r="B865" s="10"/>
      <c r="C865" s="11"/>
    </row>
    <row r="866">
      <c r="B866" s="10"/>
      <c r="C866" s="11"/>
    </row>
    <row r="867">
      <c r="B867" s="10"/>
      <c r="C867" s="11"/>
    </row>
    <row r="868">
      <c r="B868" s="10"/>
      <c r="C868" s="11"/>
    </row>
    <row r="869">
      <c r="B869" s="10"/>
      <c r="C869" s="11"/>
    </row>
    <row r="870">
      <c r="B870" s="10"/>
      <c r="C870" s="11"/>
    </row>
    <row r="871">
      <c r="B871" s="10"/>
      <c r="C871" s="11"/>
    </row>
    <row r="872">
      <c r="B872" s="10"/>
      <c r="C872" s="11"/>
    </row>
    <row r="873">
      <c r="B873" s="10"/>
      <c r="C873" s="11"/>
    </row>
    <row r="874">
      <c r="B874" s="10"/>
      <c r="C874" s="11"/>
    </row>
    <row r="875">
      <c r="B875" s="10"/>
      <c r="C875" s="11"/>
    </row>
    <row r="876">
      <c r="B876" s="10"/>
      <c r="C876" s="11"/>
    </row>
    <row r="877">
      <c r="B877" s="10"/>
      <c r="C877" s="11"/>
    </row>
    <row r="878">
      <c r="B878" s="10"/>
      <c r="C878" s="11"/>
    </row>
    <row r="879">
      <c r="B879" s="10"/>
      <c r="C879" s="11"/>
    </row>
    <row r="880">
      <c r="B880" s="10"/>
      <c r="C880" s="11"/>
    </row>
    <row r="881">
      <c r="B881" s="10"/>
      <c r="C881" s="11"/>
    </row>
    <row r="882">
      <c r="B882" s="10"/>
      <c r="C882" s="11"/>
    </row>
    <row r="883">
      <c r="B883" s="10"/>
      <c r="C883" s="11"/>
    </row>
    <row r="884">
      <c r="B884" s="10"/>
      <c r="C884" s="11"/>
    </row>
    <row r="885">
      <c r="B885" s="10"/>
      <c r="C885" s="11"/>
    </row>
    <row r="886">
      <c r="B886" s="10"/>
      <c r="C886" s="11"/>
    </row>
    <row r="887">
      <c r="B887" s="10"/>
      <c r="C887" s="11"/>
    </row>
    <row r="888">
      <c r="B888" s="10"/>
      <c r="C888" s="11"/>
    </row>
    <row r="889">
      <c r="B889" s="10"/>
      <c r="C889" s="11"/>
    </row>
    <row r="890">
      <c r="B890" s="10"/>
      <c r="C890" s="11"/>
    </row>
    <row r="891">
      <c r="B891" s="10"/>
      <c r="C891" s="11"/>
    </row>
    <row r="892">
      <c r="B892" s="10"/>
      <c r="C892" s="11"/>
    </row>
    <row r="893">
      <c r="B893" s="10"/>
      <c r="C893" s="11"/>
    </row>
    <row r="894">
      <c r="B894" s="10"/>
      <c r="C894" s="11"/>
    </row>
    <row r="895">
      <c r="B895" s="10"/>
      <c r="C895" s="11"/>
    </row>
    <row r="896">
      <c r="B896" s="10"/>
      <c r="C896" s="11"/>
    </row>
    <row r="897">
      <c r="B897" s="10"/>
      <c r="C897" s="11"/>
    </row>
    <row r="898">
      <c r="B898" s="10"/>
      <c r="C898" s="11"/>
    </row>
    <row r="899">
      <c r="B899" s="10"/>
      <c r="C899" s="11"/>
    </row>
    <row r="900">
      <c r="B900" s="10"/>
      <c r="C900" s="11"/>
    </row>
    <row r="901">
      <c r="B901" s="10"/>
      <c r="C901" s="11"/>
    </row>
    <row r="902">
      <c r="B902" s="10"/>
      <c r="C902" s="11"/>
    </row>
    <row r="903">
      <c r="B903" s="10"/>
      <c r="C903" s="11"/>
    </row>
    <row r="904">
      <c r="B904" s="10"/>
      <c r="C904" s="11"/>
    </row>
    <row r="905">
      <c r="B905" s="10"/>
      <c r="C905" s="11"/>
    </row>
    <row r="906">
      <c r="B906" s="10"/>
      <c r="C906" s="11"/>
    </row>
    <row r="907">
      <c r="B907" s="10"/>
      <c r="C907" s="11"/>
    </row>
    <row r="908">
      <c r="B908" s="10"/>
      <c r="C908" s="11"/>
    </row>
    <row r="909">
      <c r="B909" s="10"/>
      <c r="C909" s="11"/>
    </row>
    <row r="910">
      <c r="B910" s="10"/>
      <c r="C910" s="11"/>
    </row>
    <row r="911">
      <c r="B911" s="10"/>
      <c r="C911" s="11"/>
    </row>
    <row r="912">
      <c r="B912" s="10"/>
      <c r="C912" s="11"/>
    </row>
    <row r="913">
      <c r="B913" s="10"/>
      <c r="C913" s="11"/>
    </row>
    <row r="914">
      <c r="B914" s="10"/>
      <c r="C914" s="11"/>
    </row>
    <row r="915">
      <c r="B915" s="10"/>
      <c r="C915" s="11"/>
    </row>
    <row r="916">
      <c r="B916" s="10"/>
      <c r="C916" s="11"/>
    </row>
    <row r="917">
      <c r="B917" s="10"/>
      <c r="C917" s="11"/>
    </row>
    <row r="918">
      <c r="B918" s="10"/>
      <c r="C918" s="11"/>
    </row>
    <row r="919">
      <c r="B919" s="10"/>
      <c r="C919" s="11"/>
    </row>
    <row r="920">
      <c r="B920" s="10"/>
      <c r="C920" s="11"/>
    </row>
    <row r="921">
      <c r="B921" s="10"/>
      <c r="C921" s="11"/>
    </row>
    <row r="922">
      <c r="B922" s="10"/>
      <c r="C922" s="11"/>
    </row>
    <row r="923">
      <c r="B923" s="10"/>
      <c r="C923" s="11"/>
    </row>
    <row r="924">
      <c r="B924" s="10"/>
      <c r="C924" s="11"/>
    </row>
    <row r="925">
      <c r="B925" s="10"/>
      <c r="C925" s="11"/>
    </row>
    <row r="926">
      <c r="B926" s="10"/>
      <c r="C926" s="11"/>
    </row>
    <row r="927">
      <c r="B927" s="10"/>
      <c r="C927" s="11"/>
    </row>
    <row r="928">
      <c r="B928" s="10"/>
      <c r="C928" s="11"/>
    </row>
    <row r="929">
      <c r="B929" s="10"/>
      <c r="C929" s="11"/>
    </row>
    <row r="930">
      <c r="B930" s="10"/>
      <c r="C930" s="11"/>
    </row>
    <row r="931">
      <c r="B931" s="10"/>
      <c r="C931" s="11"/>
    </row>
    <row r="932">
      <c r="B932" s="10"/>
      <c r="C932" s="11"/>
    </row>
    <row r="933">
      <c r="B933" s="10"/>
      <c r="C933" s="11"/>
    </row>
    <row r="934">
      <c r="B934" s="10"/>
      <c r="C934" s="11"/>
    </row>
    <row r="935">
      <c r="B935" s="10"/>
      <c r="C935" s="11"/>
    </row>
    <row r="936">
      <c r="B936" s="10"/>
      <c r="C936" s="11"/>
    </row>
    <row r="937">
      <c r="B937" s="10"/>
      <c r="C937" s="11"/>
    </row>
    <row r="938">
      <c r="B938" s="10"/>
      <c r="C938" s="11"/>
    </row>
    <row r="939">
      <c r="B939" s="10"/>
      <c r="C939" s="11"/>
    </row>
    <row r="940">
      <c r="B940" s="10"/>
      <c r="C940" s="11"/>
    </row>
    <row r="941">
      <c r="B941" s="10"/>
      <c r="C941" s="11"/>
    </row>
    <row r="942">
      <c r="B942" s="10"/>
      <c r="C942" s="11"/>
    </row>
    <row r="943">
      <c r="B943" s="10"/>
      <c r="C943" s="11"/>
    </row>
    <row r="944">
      <c r="B944" s="10"/>
      <c r="C944" s="11"/>
    </row>
    <row r="945">
      <c r="B945" s="10"/>
      <c r="C945" s="11"/>
    </row>
    <row r="946">
      <c r="B946" s="10"/>
      <c r="C946" s="11"/>
    </row>
    <row r="947">
      <c r="B947" s="10"/>
      <c r="C947" s="11"/>
    </row>
    <row r="948">
      <c r="B948" s="10"/>
      <c r="C948" s="11"/>
    </row>
    <row r="949">
      <c r="B949" s="10"/>
      <c r="C949" s="11"/>
    </row>
    <row r="950">
      <c r="B950" s="10"/>
      <c r="C950" s="11"/>
    </row>
    <row r="951">
      <c r="B951" s="10"/>
      <c r="C951" s="11"/>
    </row>
    <row r="952">
      <c r="B952" s="10"/>
      <c r="C952" s="11"/>
    </row>
    <row r="953">
      <c r="B953" s="10"/>
      <c r="C953" s="11"/>
    </row>
    <row r="954">
      <c r="B954" s="10"/>
      <c r="C954" s="11"/>
    </row>
    <row r="955">
      <c r="B955" s="10"/>
      <c r="C955" s="11"/>
    </row>
    <row r="956">
      <c r="B956" s="10"/>
      <c r="C956" s="11"/>
    </row>
    <row r="957">
      <c r="B957" s="10"/>
      <c r="C957" s="11"/>
    </row>
    <row r="958">
      <c r="B958" s="10"/>
      <c r="C958" s="11"/>
    </row>
    <row r="959">
      <c r="B959" s="10"/>
      <c r="C959" s="11"/>
    </row>
    <row r="960">
      <c r="B960" s="10"/>
      <c r="C960" s="11"/>
    </row>
    <row r="961">
      <c r="B961" s="10"/>
      <c r="C961" s="11"/>
    </row>
    <row r="962">
      <c r="B962" s="10"/>
      <c r="C962" s="11"/>
    </row>
    <row r="963">
      <c r="B963" s="10"/>
      <c r="C963" s="11"/>
    </row>
    <row r="964">
      <c r="B964" s="10"/>
      <c r="C964" s="11"/>
    </row>
    <row r="965">
      <c r="B965" s="10"/>
      <c r="C965" s="11"/>
    </row>
    <row r="966">
      <c r="B966" s="10"/>
      <c r="C966" s="11"/>
    </row>
    <row r="967">
      <c r="B967" s="10"/>
      <c r="C967" s="11"/>
    </row>
    <row r="968">
      <c r="B968" s="10"/>
      <c r="C968" s="11"/>
    </row>
    <row r="969">
      <c r="B969" s="10"/>
      <c r="C969" s="11"/>
    </row>
    <row r="970">
      <c r="B970" s="10"/>
      <c r="C970" s="11"/>
    </row>
    <row r="971">
      <c r="B971" s="10"/>
      <c r="C971" s="11"/>
    </row>
    <row r="972">
      <c r="B972" s="10"/>
      <c r="C972" s="11"/>
    </row>
    <row r="973">
      <c r="B973" s="10"/>
      <c r="C973" s="11"/>
    </row>
    <row r="974">
      <c r="B974" s="10"/>
      <c r="C974" s="11"/>
    </row>
    <row r="975">
      <c r="B975" s="10"/>
      <c r="C975" s="11"/>
    </row>
    <row r="976">
      <c r="B976" s="10"/>
      <c r="C976" s="11"/>
    </row>
    <row r="977">
      <c r="B977" s="10"/>
      <c r="C977" s="11"/>
    </row>
    <row r="978">
      <c r="B978" s="10"/>
      <c r="C978" s="11"/>
    </row>
    <row r="979">
      <c r="B979" s="10"/>
      <c r="C979" s="11"/>
    </row>
    <row r="980">
      <c r="B980" s="10"/>
      <c r="C980" s="11"/>
    </row>
    <row r="981">
      <c r="B981" s="10"/>
      <c r="C981" s="11"/>
    </row>
    <row r="982">
      <c r="B982" s="10"/>
      <c r="C982" s="11"/>
    </row>
    <row r="983">
      <c r="B983" s="10"/>
      <c r="C983" s="11"/>
    </row>
    <row r="984">
      <c r="B984" s="10"/>
      <c r="C984" s="11"/>
    </row>
    <row r="985">
      <c r="B985" s="10"/>
      <c r="C985" s="11"/>
    </row>
    <row r="986">
      <c r="B986" s="10"/>
      <c r="C986" s="11"/>
    </row>
    <row r="987">
      <c r="B987" s="10"/>
      <c r="C987" s="11"/>
    </row>
    <row r="988">
      <c r="B988" s="10"/>
      <c r="C988" s="11"/>
    </row>
    <row r="989">
      <c r="B989" s="10"/>
      <c r="C989" s="11"/>
    </row>
    <row r="990">
      <c r="B990" s="10"/>
      <c r="C990" s="11"/>
    </row>
    <row r="991">
      <c r="B991" s="10"/>
      <c r="C991" s="11"/>
    </row>
    <row r="992">
      <c r="B992" s="10"/>
      <c r="C992" s="11"/>
    </row>
    <row r="993">
      <c r="B993" s="10"/>
      <c r="C993" s="11"/>
    </row>
    <row r="994">
      <c r="B994" s="10"/>
      <c r="C994" s="11"/>
    </row>
    <row r="995">
      <c r="B995" s="10"/>
      <c r="C995" s="11"/>
    </row>
    <row r="996">
      <c r="B996" s="10"/>
      <c r="C996" s="11"/>
    </row>
    <row r="997">
      <c r="B997" s="10"/>
      <c r="C997" s="11"/>
    </row>
    <row r="998">
      <c r="B998" s="10"/>
      <c r="C998" s="11"/>
    </row>
    <row r="999">
      <c r="B999" s="10"/>
      <c r="C999" s="11"/>
    </row>
    <row r="1000">
      <c r="B1000" s="10"/>
      <c r="C1000" s="11"/>
    </row>
  </sheetData>
  <drawing r:id="rId1"/>
</worksheet>
</file>